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8C4F1C90-05EB-6A55-5F09-09C24B55AC0B}"/>
  <workbookPr codeName="ThisWorkbook" defaultThemeVersion="124226"/>
  <bookViews>
    <workbookView xWindow="0" yWindow="0" windowWidth="19420" windowHeight="11020" firstSheet="1" activeTab="1"/>
  </bookViews>
  <sheets>
    <sheet name="Summary_Template (2)" sheetId="155" state="veryHidden" r:id="rId1"/>
    <sheet name="Candidate1" sheetId="11" r:id="rId2"/>
    <sheet name="MacrosRequired" sheetId="152" r:id="rId3"/>
    <sheet name="setup" sheetId="7" state="veryHidden" r:id="rId4"/>
    <sheet name="Summary" sheetId="142" state="veryHidden" r:id="rId5"/>
    <sheet name="Detail_Template" sheetId="18" state="veryHidden" r:id="rId6"/>
    <sheet name="Can_BackUp" sheetId="102" state="veryHidden" r:id="rId7"/>
    <sheet name="Summary_Template" sheetId="31" state="veryHidden" r:id="rId8"/>
    <sheet name="Summary_BackUp" sheetId="151" state="veryHidden" r:id="rId9"/>
    <sheet name="FlowChart" sheetId="111" state="veryHidden" r:id="rId10"/>
    <sheet name="Old" sheetId="157" state="veryHidden" r:id="rId11"/>
    <sheet name="Sheet1" sheetId="158" state="veryHidden" r:id="rId12"/>
  </sheets>
  <definedNames>
    <definedName name="data_table1" localSheetId="0">#REF!</definedName>
    <definedName name="data_table1">#REF!</definedName>
    <definedName name="_xlnm.Print_Area" localSheetId="6">Can_BackUp!$B$2:$S$33</definedName>
    <definedName name="_xlnm.Print_Area" localSheetId="1">Candidate1!$B$2:$S$34</definedName>
    <definedName name="_xlnm.Print_Area" localSheetId="9">FlowChart!$B$2:$K$55</definedName>
    <definedName name="_xlnm.Print_Area" localSheetId="3">setup!$A$1:$F$77</definedName>
    <definedName name="_xlnm.Print_Area" localSheetId="4">Summary!$A$2:$S$5</definedName>
    <definedName name="_xlnm.Print_Area" localSheetId="8">Summary_BackUp!$A$2:$S$5</definedName>
  </definedNames>
  <calcPr calcId="125725"/>
</workbook>
</file>

<file path=xl/calcChain.xml><?xml version="1.0" encoding="utf-8"?>
<calcChain xmlns="http://schemas.openxmlformats.org/spreadsheetml/2006/main">
  <c r="F23" i="142"/>
  <c r="R25" i="11" l="1"/>
  <c r="O24" l="1" a="1"/>
  <c r="O24" s="1"/>
  <c r="O25" a="1"/>
  <c r="O25" s="1"/>
  <c r="O26" a="1"/>
  <c r="O26" s="1"/>
  <c r="L26"/>
  <c r="K26"/>
  <c r="J26"/>
  <c r="L25"/>
  <c r="K25"/>
  <c r="J25"/>
  <c r="M25" l="1"/>
  <c r="N25" a="1"/>
  <c r="N25" s="1"/>
  <c r="P25" l="1"/>
  <c r="Q25"/>
  <c r="S25" s="1"/>
  <c r="G16"/>
  <c r="R25" i="102" l="1"/>
  <c r="N25" a="1"/>
  <c r="N25" s="1"/>
  <c r="P25" s="1"/>
  <c r="M25"/>
  <c r="L25"/>
  <c r="K25"/>
  <c r="J25"/>
  <c r="R24"/>
  <c r="O24" a="1"/>
  <c r="O24" s="1"/>
  <c r="N24" a="1"/>
  <c r="N24" s="1"/>
  <c r="M24"/>
  <c r="L24"/>
  <c r="K24"/>
  <c r="J24"/>
  <c r="R23"/>
  <c r="O23" a="1"/>
  <c r="O23" s="1"/>
  <c r="N23" a="1"/>
  <c r="N23" s="1"/>
  <c r="M23"/>
  <c r="L23"/>
  <c r="K23"/>
  <c r="J23"/>
  <c r="R22"/>
  <c r="O22" a="1"/>
  <c r="O22" s="1"/>
  <c r="N22" a="1"/>
  <c r="N22" s="1"/>
  <c r="Q22" s="1"/>
  <c r="M22"/>
  <c r="L22"/>
  <c r="K22"/>
  <c r="J22"/>
  <c r="R21"/>
  <c r="O21" a="1"/>
  <c r="O21" s="1"/>
  <c r="N21" a="1"/>
  <c r="N21" s="1"/>
  <c r="M21"/>
  <c r="L21"/>
  <c r="K21"/>
  <c r="J21"/>
  <c r="R20"/>
  <c r="O20" a="1"/>
  <c r="O20" s="1"/>
  <c r="P20" s="1"/>
  <c r="N20" a="1"/>
  <c r="N20" s="1"/>
  <c r="Q20" s="1"/>
  <c r="M20"/>
  <c r="L20"/>
  <c r="K20"/>
  <c r="J20"/>
  <c r="G17"/>
  <c r="L17" s="1"/>
  <c r="G16"/>
  <c r="N14"/>
  <c r="M13"/>
  <c r="M12"/>
  <c r="K12"/>
  <c r="K11"/>
  <c r="N10" a="1"/>
  <c r="N10" s="1"/>
  <c r="M10"/>
  <c r="K10"/>
  <c r="K7"/>
  <c r="K4"/>
  <c r="G14" l="1" a="1"/>
  <c r="G14" s="1"/>
  <c r="G15" a="1"/>
  <c r="G15" s="1"/>
  <c r="P21"/>
  <c r="Q21"/>
  <c r="N13"/>
  <c r="P23"/>
  <c r="Q23"/>
  <c r="Q24"/>
  <c r="P24"/>
  <c r="K17"/>
  <c r="P22"/>
  <c r="Q25"/>
  <c r="J17"/>
  <c r="G17" i="11"/>
  <c r="N14"/>
  <c r="P10" i="102" l="1"/>
  <c r="K17" i="11"/>
  <c r="L17" l="1"/>
  <c r="J17"/>
  <c r="N10" a="1"/>
  <c r="N10" s="1"/>
  <c r="N26" a="1"/>
  <c r="N26" s="1"/>
  <c r="P26" s="1"/>
  <c r="N24" a="1"/>
  <c r="N24" s="1"/>
  <c r="Q24" s="1"/>
  <c r="S24" s="1"/>
  <c r="N23" a="1"/>
  <c r="N23" s="1"/>
  <c r="Q23" s="1"/>
  <c r="S23" s="1"/>
  <c r="N22" a="1"/>
  <c r="N22" s="1"/>
  <c r="Q22" s="1"/>
  <c r="S22" s="1"/>
  <c r="N21" a="1"/>
  <c r="N21" s="1"/>
  <c r="Q21" s="1"/>
  <c r="S21" s="1"/>
  <c r="N20" a="1"/>
  <c r="N20" s="1"/>
  <c r="Q20" s="1"/>
  <c r="S20" s="1"/>
  <c r="O23" a="1"/>
  <c r="O23" s="1"/>
  <c r="O21" a="1"/>
  <c r="O21" s="1"/>
  <c r="O22" a="1"/>
  <c r="O22" s="1"/>
  <c r="O20" a="1"/>
  <c r="O20" s="1"/>
  <c r="P20" s="1"/>
  <c r="Q26" l="1"/>
  <c r="S26" s="1"/>
  <c r="P23"/>
  <c r="P24"/>
  <c r="P21"/>
  <c r="P22"/>
  <c r="R26"/>
  <c r="R24"/>
  <c r="R23"/>
  <c r="R22"/>
  <c r="R21"/>
  <c r="K4" l="1"/>
  <c r="M26" l="1"/>
  <c r="M24"/>
  <c r="L24"/>
  <c r="K24"/>
  <c r="J24"/>
  <c r="M23"/>
  <c r="L23"/>
  <c r="K23"/>
  <c r="J23"/>
  <c r="M22"/>
  <c r="L22"/>
  <c r="K22"/>
  <c r="J22"/>
  <c r="M21"/>
  <c r="L21"/>
  <c r="K21"/>
  <c r="J21"/>
  <c r="R20"/>
  <c r="M20"/>
  <c r="L20"/>
  <c r="K20"/>
  <c r="J20"/>
  <c r="M13"/>
  <c r="M12"/>
  <c r="K12"/>
  <c r="K11"/>
  <c r="M10"/>
  <c r="K10"/>
  <c r="K7"/>
  <c r="G14" l="1" a="1"/>
  <c r="G14" s="1"/>
  <c r="G15" a="1"/>
  <c r="G15" s="1"/>
  <c r="N13"/>
  <c r="P10" l="1"/>
</calcChain>
</file>

<file path=xl/comments1.xml><?xml version="1.0" encoding="utf-8"?>
<comments xmlns="http://schemas.openxmlformats.org/spreadsheetml/2006/main">
  <authors>
    <author>Vincent Wong</author>
    <author>WSIB</author>
  </authors>
  <commentList>
    <comment ref="K4" authorId="0">
      <text>
        <r>
          <rPr>
            <b/>
            <sz val="9"/>
            <color indexed="81"/>
            <rFont val="Tahoma"/>
            <family val="2"/>
          </rPr>
          <t>FullName~ Text~ Candidate Full Name~ Yes ~ 1</t>
        </r>
      </text>
    </comment>
    <comment ref="K5" authorId="0">
      <text>
        <r>
          <rPr>
            <b/>
            <sz val="9"/>
            <color indexed="81"/>
            <rFont val="Tahoma"/>
            <family val="2"/>
          </rPr>
          <t>ProcessName~ Text~ Process Name~ Yes~ 1</t>
        </r>
      </text>
    </comment>
    <comment ref="K6" authorId="0">
      <text>
        <r>
          <rPr>
            <b/>
            <sz val="9"/>
            <color indexed="81"/>
            <rFont val="Tahoma"/>
            <family val="2"/>
          </rPr>
          <t>FormName~ Text~ Form Name~ Yes~ 1</t>
        </r>
      </text>
    </comment>
    <comment ref="K7" authorId="0">
      <text>
        <r>
          <rPr>
            <b/>
            <sz val="9"/>
            <color indexed="81"/>
            <rFont val="Tahoma"/>
            <family val="2"/>
          </rPr>
          <t>FormID_Combined~ Text~ Combined FormID~ Yes ~ 1</t>
        </r>
      </text>
    </comment>
    <comment ref="C11" authorId="0">
      <text>
        <r>
          <rPr>
            <b/>
            <sz val="9"/>
            <color indexed="81"/>
            <rFont val="Tahoma"/>
            <family val="2"/>
          </rPr>
          <t>RequisitionNo~ Text~ Resource Requisition Number~ Yes ~ 0</t>
        </r>
      </text>
    </comment>
    <comment ref="G11" authorId="0">
      <text>
        <r>
          <rPr>
            <b/>
            <sz val="9"/>
            <color indexed="81"/>
            <rFont val="Tahoma"/>
            <family val="2"/>
          </rPr>
          <t>RoleTitle~ Text~ Role/Resource Title~ Yes ~ 0</t>
        </r>
      </text>
    </comment>
    <comment ref="C12" authorId="0">
      <text>
        <r>
          <rPr>
            <b/>
            <sz val="9"/>
            <color indexed="81"/>
            <rFont val="Tahoma"/>
            <family val="2"/>
          </rPr>
          <t>RoundNumber~ Text~ Requisition Round Number~ Yes ~ 0</t>
        </r>
      </text>
    </comment>
    <comment ref="G12" authorId="0">
      <text>
        <r>
          <rPr>
            <b/>
            <sz val="9"/>
            <color indexed="81"/>
            <rFont val="Tahoma"/>
            <family val="2"/>
          </rPr>
          <t>CanFirstName~ Text~ Candidate First Name~ Yes ~ 0</t>
        </r>
      </text>
    </comment>
    <comment ref="C13" authorId="0">
      <text>
        <r>
          <rPr>
            <b/>
            <sz val="9"/>
            <color indexed="81"/>
            <rFont val="Tahoma"/>
            <family val="2"/>
          </rPr>
          <t>VendorName~ Text~ Vendor Name~ No ~ 0</t>
        </r>
      </text>
    </comment>
    <comment ref="G13" authorId="0">
      <text>
        <r>
          <rPr>
            <b/>
            <sz val="9"/>
            <color indexed="81"/>
            <rFont val="Tahoma"/>
            <family val="2"/>
          </rPr>
          <t>CanLastName~ Text~ Candidate Last Name~ Yes ~ 0</t>
        </r>
      </text>
    </comment>
    <comment ref="C14" authorId="0">
      <text>
        <r>
          <rPr>
            <b/>
            <sz val="9"/>
            <color indexed="81"/>
            <rFont val="Tahoma"/>
            <family val="2"/>
          </rPr>
          <t>ShortList~ Text~ Short List~ No ~ 0</t>
        </r>
      </text>
    </comment>
    <comment ref="G14" authorId="0">
      <text>
        <r>
          <rPr>
            <b/>
            <sz val="9"/>
            <color indexed="81"/>
            <rFont val="Tahoma"/>
            <family val="2"/>
          </rPr>
          <t>OverallScore~ Number~ Overall Score~ No ~1</t>
        </r>
      </text>
    </comment>
    <comment ref="K14" authorId="0">
      <text>
        <r>
          <rPr>
            <b/>
            <sz val="9"/>
            <color indexed="81"/>
            <rFont val="Tahoma"/>
            <family val="2"/>
          </rPr>
          <t>VendorDate~ Date~ Vendor Date~ No ~ 0</t>
        </r>
      </text>
    </comment>
    <comment ref="C15" authorId="0">
      <text>
        <r>
          <rPr>
            <b/>
            <sz val="9"/>
            <color indexed="81"/>
            <rFont val="Tahoma"/>
            <family val="2"/>
          </rPr>
          <t>Interview~ Text~ Interview~ No ~ 0</t>
        </r>
      </text>
    </comment>
    <comment ref="G15" authorId="0">
      <text>
        <r>
          <rPr>
            <b/>
            <sz val="9"/>
            <color indexed="81"/>
            <rFont val="Tahoma"/>
            <family val="2"/>
          </rPr>
          <t>AverageSkill~ Number~ Average Skill Score~ No ~ 1</t>
        </r>
      </text>
    </comment>
    <comment ref="C16" authorId="0">
      <text>
        <r>
          <rPr>
            <b/>
            <sz val="9"/>
            <color indexed="81"/>
            <rFont val="Tahoma"/>
            <family val="2"/>
          </rPr>
          <t>Hired~ Text~ Hired~ No ~ 0</t>
        </r>
      </text>
    </comment>
    <comment ref="G16" authorId="0">
      <text>
        <r>
          <rPr>
            <b/>
            <sz val="9"/>
            <color indexed="81"/>
            <rFont val="Tahoma"/>
            <family val="2"/>
          </rPr>
          <t>Stream~ Text~ Stream~ No ~ 1</t>
        </r>
      </text>
    </comment>
    <comment ref="C17" authorId="0">
      <text>
        <r>
          <rPr>
            <b/>
            <sz val="9"/>
            <color indexed="81"/>
            <rFont val="Tahoma"/>
            <family val="2"/>
          </rPr>
          <t>PONumber~ Text~ PO Number~ No ~ 0</t>
        </r>
      </text>
    </comment>
    <comment ref="G17" authorId="0">
      <text>
        <r>
          <rPr>
            <b/>
            <sz val="9"/>
            <color indexed="81"/>
            <rFont val="Tahoma"/>
            <family val="2"/>
          </rPr>
          <t>ReportDate~ Date~ Report Date~ No ~ 1</t>
        </r>
      </text>
    </comment>
    <comment ref="J17" authorId="0">
      <text>
        <r>
          <rPr>
            <b/>
            <sz val="9"/>
            <color indexed="81"/>
            <rFont val="Tahoma"/>
            <family val="2"/>
          </rPr>
          <t>ReportYear~ Text~ Report Year~ Yes~ 1</t>
        </r>
      </text>
    </comment>
    <comment ref="K17" authorId="0">
      <text>
        <r>
          <rPr>
            <b/>
            <sz val="9"/>
            <color indexed="81"/>
            <rFont val="Tahoma"/>
            <family val="2"/>
          </rPr>
          <t>ReportMonth~ Text~ Report Month~ Yes~ 1</t>
        </r>
      </text>
    </comment>
    <comment ref="L17" authorId="0">
      <text>
        <r>
          <rPr>
            <b/>
            <sz val="9"/>
            <color indexed="81"/>
            <rFont val="Tahoma"/>
            <family val="2"/>
          </rPr>
          <t>ReportQuarter~ Text~ Report Quarter~ Yes~ 1</t>
        </r>
      </text>
    </comment>
    <comment ref="C20" authorId="0">
      <text>
        <r>
          <rPr>
            <b/>
            <sz val="9"/>
            <color indexed="81"/>
            <rFont val="Tahoma"/>
            <family val="2"/>
          </rPr>
          <t>Skill~ Text~ Skill Set Desc~ No ~ 0</t>
        </r>
      </text>
    </comment>
    <comment ref="D20" authorId="0">
      <text>
        <r>
          <rPr>
            <b/>
            <sz val="9"/>
            <color indexed="81"/>
            <rFont val="Tahoma"/>
            <family val="2"/>
          </rPr>
          <t>Weight~ Number~ Weight~ No ~ 0</t>
        </r>
      </text>
    </comment>
    <comment ref="E20" authorId="0">
      <text>
        <r>
          <rPr>
            <b/>
            <sz val="9"/>
            <color indexed="81"/>
            <rFont val="Tahoma"/>
            <family val="2"/>
          </rPr>
          <t>YearExp~ Number~ years Experience~ No ~ 0</t>
        </r>
      </text>
    </comment>
    <comment ref="F20" authorId="0">
      <text>
        <r>
          <rPr>
            <b/>
            <sz val="9"/>
            <color indexed="81"/>
            <rFont val="Tahoma"/>
            <family val="2"/>
          </rPr>
          <t>ReqMet~ Text~ Requirements Met~ No ~ 0</t>
        </r>
      </text>
    </comment>
    <comment ref="G20" authorId="0">
      <text>
        <r>
          <rPr>
            <b/>
            <sz val="9"/>
            <color indexed="81"/>
            <rFont val="Tahoma"/>
            <family val="2"/>
          </rPr>
          <t>Comment~ Memo~ Comment~ No ~ 0</t>
        </r>
      </text>
    </comment>
    <comment ref="R20" authorId="0">
      <text>
        <r>
          <rPr>
            <b/>
            <sz val="9"/>
            <color indexed="81"/>
            <rFont val="Tahoma"/>
            <family val="2"/>
          </rPr>
          <t>SkillValue~ Number~  Requirement Met Value~ No ~ 1</t>
        </r>
      </text>
    </comment>
    <comment ref="C21" authorId="0">
      <text>
        <r>
          <rPr>
            <b/>
            <sz val="9"/>
            <color indexed="81"/>
            <rFont val="Tahoma"/>
            <family val="2"/>
          </rPr>
          <t>Skill~ Text~ Skill Set Desc~ No ~ 0</t>
        </r>
      </text>
    </comment>
    <comment ref="D21" authorId="0">
      <text>
        <r>
          <rPr>
            <b/>
            <sz val="9"/>
            <color indexed="81"/>
            <rFont val="Tahoma"/>
            <family val="2"/>
          </rPr>
          <t>Weight~ Number~ Weight~ No ~ 0</t>
        </r>
      </text>
    </comment>
    <comment ref="E21" authorId="0">
      <text>
        <r>
          <rPr>
            <b/>
            <sz val="9"/>
            <color indexed="81"/>
            <rFont val="Tahoma"/>
            <family val="2"/>
          </rPr>
          <t>YearExp~ Number~ years Experience~ No ~ 0</t>
        </r>
      </text>
    </comment>
    <comment ref="F21" authorId="0">
      <text>
        <r>
          <rPr>
            <b/>
            <sz val="9"/>
            <color indexed="81"/>
            <rFont val="Tahoma"/>
            <family val="2"/>
          </rPr>
          <t>ReqMet~ Text~ Requirements Met~ No ~ 0</t>
        </r>
      </text>
    </comment>
    <comment ref="G21" authorId="0">
      <text>
        <r>
          <rPr>
            <b/>
            <sz val="9"/>
            <color indexed="81"/>
            <rFont val="Tahoma"/>
            <family val="2"/>
          </rPr>
          <t>Comment~ Memo~ Comment~ No ~ 0</t>
        </r>
      </text>
    </comment>
    <comment ref="R21" authorId="0">
      <text>
        <r>
          <rPr>
            <b/>
            <sz val="9"/>
            <color indexed="81"/>
            <rFont val="Tahoma"/>
            <family val="2"/>
          </rPr>
          <t>SkillValue~ Number~  Requirement Met Value~ No ~ 1</t>
        </r>
      </text>
    </comment>
    <comment ref="C22" authorId="0">
      <text>
        <r>
          <rPr>
            <b/>
            <sz val="9"/>
            <color indexed="81"/>
            <rFont val="Tahoma"/>
            <family val="2"/>
          </rPr>
          <t>Skill~ Text~ Skill Set Desc~ No ~ 0</t>
        </r>
      </text>
    </comment>
    <comment ref="D22" authorId="0">
      <text>
        <r>
          <rPr>
            <b/>
            <sz val="9"/>
            <color indexed="81"/>
            <rFont val="Tahoma"/>
            <family val="2"/>
          </rPr>
          <t>Weight~ Number~ Weight~ No ~ 0</t>
        </r>
      </text>
    </comment>
    <comment ref="E22" authorId="0">
      <text>
        <r>
          <rPr>
            <b/>
            <sz val="9"/>
            <color indexed="81"/>
            <rFont val="Tahoma"/>
            <family val="2"/>
          </rPr>
          <t>YearExp~ Number~ years Experience~ No ~ 0</t>
        </r>
      </text>
    </comment>
    <comment ref="F22" authorId="0">
      <text>
        <r>
          <rPr>
            <b/>
            <sz val="9"/>
            <color indexed="81"/>
            <rFont val="Tahoma"/>
            <family val="2"/>
          </rPr>
          <t>ReqMet~ Text~ Requirements Met~ No ~ 0</t>
        </r>
      </text>
    </comment>
    <comment ref="G22" authorId="0">
      <text>
        <r>
          <rPr>
            <b/>
            <sz val="9"/>
            <color indexed="81"/>
            <rFont val="Tahoma"/>
            <family val="2"/>
          </rPr>
          <t>Comment~ Memo~ Comment~ No ~ 0</t>
        </r>
      </text>
    </comment>
    <comment ref="R22" authorId="0">
      <text>
        <r>
          <rPr>
            <b/>
            <sz val="9"/>
            <color indexed="81"/>
            <rFont val="Tahoma"/>
            <family val="2"/>
          </rPr>
          <t>SkillValue~ Number~  Requirement Met Value~ No ~ 1</t>
        </r>
      </text>
    </comment>
    <comment ref="C23" authorId="0">
      <text>
        <r>
          <rPr>
            <b/>
            <sz val="9"/>
            <color indexed="81"/>
            <rFont val="Tahoma"/>
            <family val="2"/>
          </rPr>
          <t>Skill~ Text~ Skill Set Desc~ No ~ 0</t>
        </r>
      </text>
    </comment>
    <comment ref="D23" authorId="0">
      <text>
        <r>
          <rPr>
            <b/>
            <sz val="9"/>
            <color indexed="81"/>
            <rFont val="Tahoma"/>
            <family val="2"/>
          </rPr>
          <t>Weight~ Number~ Weight~ No ~ 0</t>
        </r>
      </text>
    </comment>
    <comment ref="E23" authorId="0">
      <text>
        <r>
          <rPr>
            <b/>
            <sz val="9"/>
            <color indexed="81"/>
            <rFont val="Tahoma"/>
            <family val="2"/>
          </rPr>
          <t>YearExp~ Number~ years Experience~ No ~ 0</t>
        </r>
      </text>
    </comment>
    <comment ref="F23" authorId="0">
      <text>
        <r>
          <rPr>
            <b/>
            <sz val="9"/>
            <color indexed="81"/>
            <rFont val="Tahoma"/>
            <family val="2"/>
          </rPr>
          <t>ReqMet~ Text~ Requirements Met~ No ~ 0</t>
        </r>
      </text>
    </comment>
    <comment ref="G23" authorId="0">
      <text>
        <r>
          <rPr>
            <b/>
            <sz val="9"/>
            <color indexed="81"/>
            <rFont val="Tahoma"/>
            <family val="2"/>
          </rPr>
          <t>Comment~ Memo~ Comment~ No ~ 0</t>
        </r>
      </text>
    </comment>
    <comment ref="R23" authorId="0">
      <text>
        <r>
          <rPr>
            <b/>
            <sz val="9"/>
            <color indexed="81"/>
            <rFont val="Tahoma"/>
            <family val="2"/>
          </rPr>
          <t>SkillValue~ Number~  Requirement Met Value~ No ~ 1</t>
        </r>
      </text>
    </comment>
    <comment ref="C24" authorId="0">
      <text>
        <r>
          <rPr>
            <b/>
            <sz val="9"/>
            <color indexed="81"/>
            <rFont val="Tahoma"/>
            <family val="2"/>
          </rPr>
          <t>Skill~ Text~ Skill Set Desc~ No ~ 0</t>
        </r>
      </text>
    </comment>
    <comment ref="D24" authorId="0">
      <text>
        <r>
          <rPr>
            <b/>
            <sz val="9"/>
            <color indexed="81"/>
            <rFont val="Tahoma"/>
            <family val="2"/>
          </rPr>
          <t>Weight~ Number~ Weight~ No ~ 0</t>
        </r>
      </text>
    </comment>
    <comment ref="E24" authorId="0">
      <text>
        <r>
          <rPr>
            <b/>
            <sz val="9"/>
            <color indexed="81"/>
            <rFont val="Tahoma"/>
            <family val="2"/>
          </rPr>
          <t>YearExp~ Number~ years Experience~ No ~ 0</t>
        </r>
      </text>
    </comment>
    <comment ref="F24" authorId="0">
      <text>
        <r>
          <rPr>
            <b/>
            <sz val="9"/>
            <color indexed="81"/>
            <rFont val="Tahoma"/>
            <family val="2"/>
          </rPr>
          <t>ReqMet~ Text~ Requirements Met~ No ~ 0</t>
        </r>
      </text>
    </comment>
    <comment ref="G24" authorId="0">
      <text>
        <r>
          <rPr>
            <b/>
            <sz val="9"/>
            <color indexed="81"/>
            <rFont val="Tahoma"/>
            <family val="2"/>
          </rPr>
          <t>Comment~ Memo~ Comment~ No ~ 0</t>
        </r>
      </text>
    </comment>
    <comment ref="R24" authorId="0">
      <text>
        <r>
          <rPr>
            <b/>
            <sz val="9"/>
            <color indexed="81"/>
            <rFont val="Tahoma"/>
            <family val="2"/>
          </rPr>
          <t>SkillValue~ Number~  Requirement Met Value~ No ~ 1</t>
        </r>
      </text>
    </comment>
    <comment ref="C25" authorId="0">
      <text>
        <r>
          <rPr>
            <b/>
            <sz val="9"/>
            <color indexed="81"/>
            <rFont val="Tahoma"/>
            <family val="2"/>
          </rPr>
          <t>Skill~ Text~ Skill Set Desc~ No ~ 0</t>
        </r>
      </text>
    </comment>
    <comment ref="D25" authorId="0">
      <text>
        <r>
          <rPr>
            <b/>
            <sz val="9"/>
            <color indexed="81"/>
            <rFont val="Tahoma"/>
            <family val="2"/>
          </rPr>
          <t>Weight~ Number~ Weight~ No ~ 0</t>
        </r>
      </text>
    </comment>
    <comment ref="E25" authorId="0">
      <text>
        <r>
          <rPr>
            <b/>
            <sz val="9"/>
            <color indexed="81"/>
            <rFont val="Tahoma"/>
            <family val="2"/>
          </rPr>
          <t>YearExp~ Number~ years Experience~ No ~ 0</t>
        </r>
      </text>
    </comment>
    <comment ref="F25" authorId="0">
      <text>
        <r>
          <rPr>
            <b/>
            <sz val="9"/>
            <color indexed="81"/>
            <rFont val="Tahoma"/>
            <family val="2"/>
          </rPr>
          <t>ReqMet~ Text~ Requirements Met~ No ~ 0</t>
        </r>
      </text>
    </comment>
    <comment ref="G25" authorId="1">
      <text>
        <r>
          <rPr>
            <b/>
            <sz val="9"/>
            <color indexed="81"/>
            <rFont val="Tahoma"/>
            <family val="2"/>
          </rPr>
          <t>Comment~ Memo~ Comment~ No ~ 0</t>
        </r>
      </text>
    </comment>
    <comment ref="R25" authorId="0">
      <text>
        <r>
          <rPr>
            <b/>
            <sz val="9"/>
            <color indexed="81"/>
            <rFont val="Tahoma"/>
            <family val="2"/>
          </rPr>
          <t>SkillValue~ Number~  Requirement Met Value~ No ~ 1</t>
        </r>
      </text>
    </comment>
    <comment ref="C26" authorId="0">
      <text>
        <r>
          <rPr>
            <b/>
            <sz val="9"/>
            <color indexed="81"/>
            <rFont val="Tahoma"/>
            <family val="2"/>
          </rPr>
          <t>Skill~ Text~ Skill Set Desc~ No ~ 0</t>
        </r>
      </text>
    </comment>
    <comment ref="D26" authorId="0">
      <text>
        <r>
          <rPr>
            <b/>
            <sz val="9"/>
            <color indexed="81"/>
            <rFont val="Tahoma"/>
            <family val="2"/>
          </rPr>
          <t>Weight~ Number~ Weight~ No ~ 0</t>
        </r>
      </text>
    </comment>
    <comment ref="E26" authorId="0">
      <text>
        <r>
          <rPr>
            <b/>
            <sz val="9"/>
            <color indexed="81"/>
            <rFont val="Tahoma"/>
            <family val="2"/>
          </rPr>
          <t>YearExp~ Number~ years Experience~ No ~ 0</t>
        </r>
      </text>
    </comment>
    <comment ref="F26" authorId="0">
      <text>
        <r>
          <rPr>
            <b/>
            <sz val="9"/>
            <color indexed="81"/>
            <rFont val="Tahoma"/>
            <family val="2"/>
          </rPr>
          <t>ReqMet~ Text~ Requirements Met~ No ~ 0</t>
        </r>
      </text>
    </comment>
    <comment ref="G26" authorId="0">
      <text>
        <r>
          <rPr>
            <b/>
            <sz val="9"/>
            <color indexed="81"/>
            <rFont val="Tahoma"/>
            <family val="2"/>
          </rPr>
          <t>Comment~ Memo~ Comment~ No ~ 0</t>
        </r>
      </text>
    </comment>
    <comment ref="R26" authorId="0">
      <text>
        <r>
          <rPr>
            <b/>
            <sz val="9"/>
            <color indexed="81"/>
            <rFont val="Tahoma"/>
            <family val="2"/>
          </rPr>
          <t>SkillValue~ Number~  Requirement Met Value~ No ~ 1</t>
        </r>
      </text>
    </comment>
  </commentList>
</comments>
</file>

<file path=xl/comments2.xml><?xml version="1.0" encoding="utf-8"?>
<comments xmlns="http://schemas.openxmlformats.org/spreadsheetml/2006/main">
  <authors>
    <author>Vincent Wong</author>
  </authors>
  <commentList>
    <comment ref="C4" authorId="0">
      <text>
        <r>
          <rPr>
            <b/>
            <sz val="9"/>
            <color indexed="81"/>
            <rFont val="Tahoma"/>
            <family val="2"/>
          </rPr>
          <t>ReportFrom~ Date~ Report From Date~ No ~ 1</t>
        </r>
      </text>
    </comment>
    <comment ref="G4" authorId="0">
      <text>
        <r>
          <rPr>
            <b/>
            <sz val="9"/>
            <color indexed="81"/>
            <rFont val="Tahoma"/>
            <family val="2"/>
          </rPr>
          <t>RequisitionNo~ Text~ Resource Requisition Number~ Yes ~ 0</t>
        </r>
      </text>
    </comment>
    <comment ref="C5" authorId="0">
      <text>
        <r>
          <rPr>
            <b/>
            <sz val="9"/>
            <color indexed="81"/>
            <rFont val="Tahoma"/>
            <family val="2"/>
          </rPr>
          <t>ReportTo~ Date~ Report To Date~ No ~ 1</t>
        </r>
      </text>
    </comment>
    <comment ref="B28" authorId="0">
      <text>
        <r>
          <rPr>
            <b/>
            <sz val="9"/>
            <color indexed="81"/>
            <rFont val="Tahoma"/>
            <family val="2"/>
          </rPr>
          <t>RequisitionNo~ Text~ Resource Requisition Number~ Yes ~ 0</t>
        </r>
      </text>
    </comment>
    <comment ref="C28" authorId="0">
      <text>
        <r>
          <rPr>
            <b/>
            <sz val="9"/>
            <color indexed="81"/>
            <rFont val="Tahoma"/>
            <family val="2"/>
          </rPr>
          <t>VendorName~ Text~ Vendor Name~ No ~ 0</t>
        </r>
      </text>
    </comment>
    <comment ref="D28" authorId="0">
      <text>
        <r>
          <rPr>
            <b/>
            <sz val="9"/>
            <color indexed="81"/>
            <rFont val="Tahoma"/>
            <family val="2"/>
          </rPr>
          <t>RoundNumber~ Number~ Requisition Round Number~ Yes ~ 0</t>
        </r>
      </text>
    </comment>
    <comment ref="E28" authorId="0">
      <text>
        <r>
          <rPr>
            <b/>
            <sz val="9"/>
            <color indexed="81"/>
            <rFont val="Tahoma"/>
            <family val="2"/>
          </rPr>
          <t>FullName~ Text~ Candidate Full Name~ Yes ~ 0</t>
        </r>
      </text>
    </comment>
  </commentList>
</comments>
</file>

<file path=xl/comments3.xml><?xml version="1.0" encoding="utf-8"?>
<comments xmlns="http://schemas.openxmlformats.org/spreadsheetml/2006/main">
  <authors>
    <author>Vincent Wong</author>
  </authors>
  <commentList>
    <comment ref="B5" authorId="0">
      <text>
        <r>
          <rPr>
            <b/>
            <sz val="9"/>
            <color indexed="81"/>
            <rFont val="Tahoma"/>
            <family val="2"/>
          </rPr>
          <t>RequisitionNo~ Text~ Resource Requisition Number~ Yes ~ 0</t>
        </r>
      </text>
    </comment>
    <comment ref="C5" authorId="0">
      <text>
        <r>
          <rPr>
            <b/>
            <sz val="9"/>
            <color indexed="81"/>
            <rFont val="Tahoma"/>
            <family val="2"/>
          </rPr>
          <t>VendorName~ Text~ Vendor Name~ No ~ 0</t>
        </r>
      </text>
    </comment>
    <comment ref="D5" authorId="0">
      <text>
        <r>
          <rPr>
            <b/>
            <sz val="9"/>
            <color indexed="81"/>
            <rFont val="Tahoma"/>
            <family val="2"/>
          </rPr>
          <t>RoundNumber~ Number~ Requisition Round Number~ Yes ~ 0</t>
        </r>
      </text>
    </comment>
    <comment ref="E5" authorId="0">
      <text>
        <r>
          <rPr>
            <b/>
            <sz val="9"/>
            <color indexed="81"/>
            <rFont val="Tahoma"/>
            <family val="2"/>
          </rPr>
          <t>FullName~ Text~ Candidate Full Name~ Yes ~ 0</t>
        </r>
      </text>
    </comment>
  </commentList>
</comments>
</file>

<file path=xl/comments4.xml><?xml version="1.0" encoding="utf-8"?>
<comments xmlns="http://schemas.openxmlformats.org/spreadsheetml/2006/main">
  <authors>
    <author>Vincent Wong</author>
  </authors>
  <commentList>
    <comment ref="K4" authorId="0">
      <text>
        <r>
          <rPr>
            <b/>
            <sz val="9"/>
            <color indexed="81"/>
            <rFont val="Tahoma"/>
            <family val="2"/>
          </rPr>
          <t>FullName~ Text~ Candidate Full Name~ Yes ~ 1</t>
        </r>
      </text>
    </comment>
    <comment ref="K5" authorId="0">
      <text>
        <r>
          <rPr>
            <b/>
            <sz val="9"/>
            <color indexed="81"/>
            <rFont val="Tahoma"/>
            <family val="2"/>
          </rPr>
          <t>ProcessName~ Text~ Process Name~ Yes~ 1</t>
        </r>
      </text>
    </comment>
    <comment ref="K6" authorId="0">
      <text>
        <r>
          <rPr>
            <b/>
            <sz val="9"/>
            <color indexed="81"/>
            <rFont val="Tahoma"/>
            <family val="2"/>
          </rPr>
          <t>FormName~ Text~ Form Name~ Yes~ 1</t>
        </r>
      </text>
    </comment>
    <comment ref="K7" authorId="0">
      <text>
        <r>
          <rPr>
            <b/>
            <sz val="9"/>
            <color indexed="81"/>
            <rFont val="Tahoma"/>
            <family val="2"/>
          </rPr>
          <t>FormID_Combined~ Text~ Combined FormID~ Yes ~ 1</t>
        </r>
      </text>
    </comment>
    <comment ref="C11" authorId="0">
      <text>
        <r>
          <rPr>
            <b/>
            <sz val="9"/>
            <color indexed="81"/>
            <rFont val="Tahoma"/>
            <family val="2"/>
          </rPr>
          <t>RequisitionNo~ Text~ Resource Requisition Number~ Yes ~ 0</t>
        </r>
      </text>
    </comment>
    <comment ref="G11" authorId="0">
      <text>
        <r>
          <rPr>
            <b/>
            <sz val="9"/>
            <color indexed="81"/>
            <rFont val="Tahoma"/>
            <family val="2"/>
          </rPr>
          <t>RoleTitle~ Text~ Role/Resource Title~ Yes ~ 0</t>
        </r>
      </text>
    </comment>
    <comment ref="C12" authorId="0">
      <text>
        <r>
          <rPr>
            <b/>
            <sz val="9"/>
            <color indexed="81"/>
            <rFont val="Tahoma"/>
            <family val="2"/>
          </rPr>
          <t>RoundNumber~ Number~ Requisition Round Number~ Yes ~ 0</t>
        </r>
      </text>
    </comment>
    <comment ref="G12" authorId="0">
      <text>
        <r>
          <rPr>
            <b/>
            <sz val="9"/>
            <color indexed="81"/>
            <rFont val="Tahoma"/>
            <family val="2"/>
          </rPr>
          <t>CanFirstName~ Text~ Candidate First Name~ Yes ~ 0</t>
        </r>
      </text>
    </comment>
    <comment ref="C13" authorId="0">
      <text>
        <r>
          <rPr>
            <b/>
            <sz val="9"/>
            <color indexed="81"/>
            <rFont val="Tahoma"/>
            <family val="2"/>
          </rPr>
          <t>VendorName~ Text~ Vendor Name~ No ~ 0</t>
        </r>
      </text>
    </comment>
    <comment ref="G13" authorId="0">
      <text>
        <r>
          <rPr>
            <b/>
            <sz val="9"/>
            <color indexed="81"/>
            <rFont val="Tahoma"/>
            <family val="2"/>
          </rPr>
          <t>CanLastName~ Text~ Candidate Last Name~ Yes ~ 0</t>
        </r>
      </text>
    </comment>
    <comment ref="C14" authorId="0">
      <text>
        <r>
          <rPr>
            <b/>
            <sz val="9"/>
            <color indexed="81"/>
            <rFont val="Tahoma"/>
            <family val="2"/>
          </rPr>
          <t>ShortList~ Text~ Short List~ No ~ 0</t>
        </r>
      </text>
    </comment>
    <comment ref="G14" authorId="0">
      <text>
        <r>
          <rPr>
            <b/>
            <sz val="9"/>
            <color indexed="81"/>
            <rFont val="Tahoma"/>
            <family val="2"/>
          </rPr>
          <t>OverallScore~ Number~ Overall Score~ No ~1</t>
        </r>
      </text>
    </comment>
    <comment ref="K14" authorId="0">
      <text>
        <r>
          <rPr>
            <b/>
            <sz val="9"/>
            <color indexed="81"/>
            <rFont val="Tahoma"/>
            <family val="2"/>
          </rPr>
          <t>VendorDate~ Date~ Vendor Date~ No ~ 0</t>
        </r>
      </text>
    </comment>
    <comment ref="C15" authorId="0">
      <text>
        <r>
          <rPr>
            <b/>
            <sz val="9"/>
            <color indexed="81"/>
            <rFont val="Tahoma"/>
            <family val="2"/>
          </rPr>
          <t>Interview~ Text~ Interview~ No ~ 0</t>
        </r>
      </text>
    </comment>
    <comment ref="G15" authorId="0">
      <text>
        <r>
          <rPr>
            <b/>
            <sz val="9"/>
            <color indexed="81"/>
            <rFont val="Tahoma"/>
            <family val="2"/>
          </rPr>
          <t>AverageSkill~ Number~ Average Skill Score~ No ~ 1</t>
        </r>
      </text>
    </comment>
    <comment ref="C16" authorId="0">
      <text>
        <r>
          <rPr>
            <b/>
            <sz val="9"/>
            <color indexed="81"/>
            <rFont val="Tahoma"/>
            <family val="2"/>
          </rPr>
          <t>Hired~ Text~ Hired~ No ~ 0</t>
        </r>
      </text>
    </comment>
    <comment ref="G16" authorId="0">
      <text>
        <r>
          <rPr>
            <b/>
            <sz val="9"/>
            <color indexed="81"/>
            <rFont val="Tahoma"/>
            <family val="2"/>
          </rPr>
          <t>Stream~ Text~ Stream~ No ~ 1</t>
        </r>
      </text>
    </comment>
    <comment ref="C17" authorId="0">
      <text>
        <r>
          <rPr>
            <b/>
            <sz val="9"/>
            <color indexed="81"/>
            <rFont val="Tahoma"/>
            <family val="2"/>
          </rPr>
          <t>PONumber~ Text~ PO Number~ No ~ 0</t>
        </r>
      </text>
    </comment>
    <comment ref="G17" authorId="0">
      <text>
        <r>
          <rPr>
            <b/>
            <sz val="9"/>
            <color indexed="81"/>
            <rFont val="Tahoma"/>
            <family val="2"/>
          </rPr>
          <t>ReportDate~ Date~ Report Date~ No ~ 1</t>
        </r>
      </text>
    </comment>
    <comment ref="J17" authorId="0">
      <text>
        <r>
          <rPr>
            <b/>
            <sz val="9"/>
            <color indexed="81"/>
            <rFont val="Tahoma"/>
            <family val="2"/>
          </rPr>
          <t>ReportYear~ Text~ Report Year~ Yes~ 1</t>
        </r>
      </text>
    </comment>
    <comment ref="K17" authorId="0">
      <text>
        <r>
          <rPr>
            <b/>
            <sz val="9"/>
            <color indexed="81"/>
            <rFont val="Tahoma"/>
            <family val="2"/>
          </rPr>
          <t>ReportMonth~ Text~ Report Month~ Yes~ 1</t>
        </r>
      </text>
    </comment>
    <comment ref="L17" authorId="0">
      <text>
        <r>
          <rPr>
            <b/>
            <sz val="9"/>
            <color indexed="81"/>
            <rFont val="Tahoma"/>
            <family val="2"/>
          </rPr>
          <t>ReportQuarter~ Text~ Report Quarter~ Yes~ 1</t>
        </r>
      </text>
    </comment>
    <comment ref="C20" authorId="0">
      <text>
        <r>
          <rPr>
            <b/>
            <sz val="9"/>
            <color indexed="81"/>
            <rFont val="Tahoma"/>
            <family val="2"/>
          </rPr>
          <t>Skill~ Text~ Skill Set Desc~ No ~ 0</t>
        </r>
      </text>
    </comment>
    <comment ref="D20" authorId="0">
      <text>
        <r>
          <rPr>
            <b/>
            <sz val="9"/>
            <color indexed="81"/>
            <rFont val="Tahoma"/>
            <family val="2"/>
          </rPr>
          <t>Weight~ Number~ Weight~ No ~ 0</t>
        </r>
      </text>
    </comment>
    <comment ref="E20" authorId="0">
      <text>
        <r>
          <rPr>
            <b/>
            <sz val="9"/>
            <color indexed="81"/>
            <rFont val="Tahoma"/>
            <family val="2"/>
          </rPr>
          <t>YearExp~ Number~ years Experience~ No ~ 0</t>
        </r>
      </text>
    </comment>
    <comment ref="F20" authorId="0">
      <text>
        <r>
          <rPr>
            <b/>
            <sz val="9"/>
            <color indexed="81"/>
            <rFont val="Tahoma"/>
            <family val="2"/>
          </rPr>
          <t>ReqMet~ Text~ Requirements Met~ No ~ 0</t>
        </r>
      </text>
    </comment>
    <comment ref="G20" authorId="0">
      <text>
        <r>
          <rPr>
            <b/>
            <sz val="9"/>
            <color indexed="81"/>
            <rFont val="Tahoma"/>
            <family val="2"/>
          </rPr>
          <t>Comment~ Memo~ Comment~ No ~ 0</t>
        </r>
      </text>
    </comment>
    <comment ref="R20" authorId="0">
      <text>
        <r>
          <rPr>
            <b/>
            <sz val="9"/>
            <color indexed="81"/>
            <rFont val="Tahoma"/>
            <family val="2"/>
          </rPr>
          <t>SkillValue~ Number~  Requirement Met Value~ No ~ 1</t>
        </r>
      </text>
    </comment>
    <comment ref="C21" authorId="0">
      <text>
        <r>
          <rPr>
            <b/>
            <sz val="9"/>
            <color indexed="81"/>
            <rFont val="Tahoma"/>
            <family val="2"/>
          </rPr>
          <t>Skill~ Text~ Skill Set Desc~ No ~ 0</t>
        </r>
      </text>
    </comment>
    <comment ref="D21" authorId="0">
      <text>
        <r>
          <rPr>
            <b/>
            <sz val="9"/>
            <color indexed="81"/>
            <rFont val="Tahoma"/>
            <family val="2"/>
          </rPr>
          <t>Weight~ Number~ Weight~ No ~ 0</t>
        </r>
      </text>
    </comment>
    <comment ref="E21" authorId="0">
      <text>
        <r>
          <rPr>
            <b/>
            <sz val="9"/>
            <color indexed="81"/>
            <rFont val="Tahoma"/>
            <family val="2"/>
          </rPr>
          <t>YearExp~ Number~ years Experience~ No ~ 0</t>
        </r>
      </text>
    </comment>
    <comment ref="F21" authorId="0">
      <text>
        <r>
          <rPr>
            <b/>
            <sz val="9"/>
            <color indexed="81"/>
            <rFont val="Tahoma"/>
            <family val="2"/>
          </rPr>
          <t>ReqMet~ Text~ Requirements Met~ No ~ 0</t>
        </r>
      </text>
    </comment>
    <comment ref="G21" authorId="0">
      <text>
        <r>
          <rPr>
            <b/>
            <sz val="9"/>
            <color indexed="81"/>
            <rFont val="Tahoma"/>
            <family val="2"/>
          </rPr>
          <t>Comment~ Memo~ Comment~ No ~ 0</t>
        </r>
      </text>
    </comment>
    <comment ref="R21" authorId="0">
      <text>
        <r>
          <rPr>
            <b/>
            <sz val="9"/>
            <color indexed="81"/>
            <rFont val="Tahoma"/>
            <family val="2"/>
          </rPr>
          <t>SkillValue~ Number~  Requirement Met Value~ No ~ 1</t>
        </r>
      </text>
    </comment>
    <comment ref="C22" authorId="0">
      <text>
        <r>
          <rPr>
            <b/>
            <sz val="9"/>
            <color indexed="81"/>
            <rFont val="Tahoma"/>
            <family val="2"/>
          </rPr>
          <t>Skill~ Text~ Skill Set Desc~ No ~ 0</t>
        </r>
      </text>
    </comment>
    <comment ref="D22" authorId="0">
      <text>
        <r>
          <rPr>
            <b/>
            <sz val="9"/>
            <color indexed="81"/>
            <rFont val="Tahoma"/>
            <family val="2"/>
          </rPr>
          <t>Weight~ Number~ Weight~ No ~ 0</t>
        </r>
      </text>
    </comment>
    <comment ref="E22" authorId="0">
      <text>
        <r>
          <rPr>
            <b/>
            <sz val="9"/>
            <color indexed="81"/>
            <rFont val="Tahoma"/>
            <family val="2"/>
          </rPr>
          <t>YearExp~ Number~ years Experience~ No ~ 0</t>
        </r>
      </text>
    </comment>
    <comment ref="F22" authorId="0">
      <text>
        <r>
          <rPr>
            <b/>
            <sz val="9"/>
            <color indexed="81"/>
            <rFont val="Tahoma"/>
            <family val="2"/>
          </rPr>
          <t>ReqMet~ Text~ Requirements Met~ No ~ 0</t>
        </r>
      </text>
    </comment>
    <comment ref="G22" authorId="0">
      <text>
        <r>
          <rPr>
            <b/>
            <sz val="9"/>
            <color indexed="81"/>
            <rFont val="Tahoma"/>
            <family val="2"/>
          </rPr>
          <t>Comment~ Memo~ Comment~ No ~ 0</t>
        </r>
      </text>
    </comment>
    <comment ref="R22" authorId="0">
      <text>
        <r>
          <rPr>
            <b/>
            <sz val="9"/>
            <color indexed="81"/>
            <rFont val="Tahoma"/>
            <family val="2"/>
          </rPr>
          <t>SkillValue~ Number~  Requirement Met Value~ No ~ 1</t>
        </r>
      </text>
    </comment>
    <comment ref="C23" authorId="0">
      <text>
        <r>
          <rPr>
            <b/>
            <sz val="9"/>
            <color indexed="81"/>
            <rFont val="Tahoma"/>
            <family val="2"/>
          </rPr>
          <t>Skill~ Text~ Skill Set Desc~ No ~ 0</t>
        </r>
      </text>
    </comment>
    <comment ref="D23" authorId="0">
      <text>
        <r>
          <rPr>
            <b/>
            <sz val="9"/>
            <color indexed="81"/>
            <rFont val="Tahoma"/>
            <family val="2"/>
          </rPr>
          <t>Weight~ Number~ Weight~ No ~ 0</t>
        </r>
      </text>
    </comment>
    <comment ref="E23" authorId="0">
      <text>
        <r>
          <rPr>
            <b/>
            <sz val="9"/>
            <color indexed="81"/>
            <rFont val="Tahoma"/>
            <family val="2"/>
          </rPr>
          <t>YearExp~ Number~ years Experience~ No ~ 0</t>
        </r>
      </text>
    </comment>
    <comment ref="F23" authorId="0">
      <text>
        <r>
          <rPr>
            <b/>
            <sz val="9"/>
            <color indexed="81"/>
            <rFont val="Tahoma"/>
            <family val="2"/>
          </rPr>
          <t>ReqMet~ Text~ Requirements Met~ No ~ 0</t>
        </r>
      </text>
    </comment>
    <comment ref="G23" authorId="0">
      <text>
        <r>
          <rPr>
            <b/>
            <sz val="9"/>
            <color indexed="81"/>
            <rFont val="Tahoma"/>
            <family val="2"/>
          </rPr>
          <t>Comment~ Memo~ Comment~ No ~ 0</t>
        </r>
      </text>
    </comment>
    <comment ref="R23" authorId="0">
      <text>
        <r>
          <rPr>
            <b/>
            <sz val="9"/>
            <color indexed="81"/>
            <rFont val="Tahoma"/>
            <family val="2"/>
          </rPr>
          <t>SkillValue~ Number~  Requirement Met Value~ No ~ 1</t>
        </r>
      </text>
    </comment>
    <comment ref="C24" authorId="0">
      <text>
        <r>
          <rPr>
            <b/>
            <sz val="9"/>
            <color indexed="81"/>
            <rFont val="Tahoma"/>
            <family val="2"/>
          </rPr>
          <t>Skill~ Text~ Skill Set Desc~ No ~ 0</t>
        </r>
      </text>
    </comment>
    <comment ref="D24" authorId="0">
      <text>
        <r>
          <rPr>
            <b/>
            <sz val="9"/>
            <color indexed="81"/>
            <rFont val="Tahoma"/>
            <family val="2"/>
          </rPr>
          <t>Weight~ Number~ Weight~ No ~ 0</t>
        </r>
      </text>
    </comment>
    <comment ref="E24" authorId="0">
      <text>
        <r>
          <rPr>
            <b/>
            <sz val="9"/>
            <color indexed="81"/>
            <rFont val="Tahoma"/>
            <family val="2"/>
          </rPr>
          <t>YearExp~ Number~ years Experience~ No ~ 0</t>
        </r>
      </text>
    </comment>
    <comment ref="F24" authorId="0">
      <text>
        <r>
          <rPr>
            <b/>
            <sz val="9"/>
            <color indexed="81"/>
            <rFont val="Tahoma"/>
            <family val="2"/>
          </rPr>
          <t>ReqMet~ Text~ Requirements Met~ No ~ 0</t>
        </r>
      </text>
    </comment>
    <comment ref="G24" authorId="0">
      <text>
        <r>
          <rPr>
            <b/>
            <sz val="9"/>
            <color indexed="81"/>
            <rFont val="Tahoma"/>
            <family val="2"/>
          </rPr>
          <t>Comment~ Memo~ Comment~ No ~ 0</t>
        </r>
      </text>
    </comment>
    <comment ref="R24" authorId="0">
      <text>
        <r>
          <rPr>
            <b/>
            <sz val="9"/>
            <color indexed="81"/>
            <rFont val="Tahoma"/>
            <family val="2"/>
          </rPr>
          <t>SkillValue~ Number~  Requirement Met Value~ No ~ 1</t>
        </r>
      </text>
    </comment>
    <comment ref="C25" authorId="0">
      <text>
        <r>
          <rPr>
            <b/>
            <sz val="9"/>
            <color indexed="81"/>
            <rFont val="Tahoma"/>
            <family val="2"/>
          </rPr>
          <t>Skill~ Text~ Skill Set Desc~ No ~ 0</t>
        </r>
      </text>
    </comment>
    <comment ref="D25" authorId="0">
      <text>
        <r>
          <rPr>
            <b/>
            <sz val="9"/>
            <color indexed="81"/>
            <rFont val="Tahoma"/>
            <family val="2"/>
          </rPr>
          <t>Weight~ Number~ Weight~ No ~ 0</t>
        </r>
      </text>
    </comment>
    <comment ref="E25" authorId="0">
      <text>
        <r>
          <rPr>
            <b/>
            <sz val="9"/>
            <color indexed="81"/>
            <rFont val="Tahoma"/>
            <family val="2"/>
          </rPr>
          <t>YearExp~ Number~ years Experience~ No ~ 0</t>
        </r>
      </text>
    </comment>
    <comment ref="F25" authorId="0">
      <text>
        <r>
          <rPr>
            <b/>
            <sz val="9"/>
            <color indexed="81"/>
            <rFont val="Tahoma"/>
            <family val="2"/>
          </rPr>
          <t>ReqMet~ Text~ Requirements Met~ No ~ 0</t>
        </r>
      </text>
    </comment>
    <comment ref="G25" authorId="0">
      <text>
        <r>
          <rPr>
            <b/>
            <sz val="9"/>
            <color indexed="81"/>
            <rFont val="Tahoma"/>
            <family val="2"/>
          </rPr>
          <t>Comment~ Memo~ Comment~ No ~ 0</t>
        </r>
      </text>
    </comment>
    <comment ref="R25" authorId="0">
      <text>
        <r>
          <rPr>
            <b/>
            <sz val="9"/>
            <color indexed="81"/>
            <rFont val="Tahoma"/>
            <family val="2"/>
          </rPr>
          <t>SkillValue~ Number~  Requirement Met Value~ No ~ 1</t>
        </r>
      </text>
    </comment>
  </commentList>
</comments>
</file>

<file path=xl/comments5.xml><?xml version="1.0" encoding="utf-8"?>
<comments xmlns="http://schemas.openxmlformats.org/spreadsheetml/2006/main">
  <authors>
    <author>Vincent Wong</author>
  </authors>
  <commentList>
    <comment ref="C4" authorId="0">
      <text>
        <r>
          <rPr>
            <b/>
            <sz val="9"/>
            <color indexed="81"/>
            <rFont val="Tahoma"/>
            <family val="2"/>
          </rPr>
          <t>ReportFrom~ Date~ Report From Date~ No ~ 1</t>
        </r>
      </text>
    </comment>
    <comment ref="G4" authorId="0">
      <text>
        <r>
          <rPr>
            <b/>
            <sz val="9"/>
            <color indexed="81"/>
            <rFont val="Tahoma"/>
            <family val="2"/>
          </rPr>
          <t>RequisitionNo~ Text~ Resource Requisition Number~ Yes ~ 0</t>
        </r>
      </text>
    </comment>
    <comment ref="C5" authorId="0">
      <text>
        <r>
          <rPr>
            <b/>
            <sz val="9"/>
            <color indexed="81"/>
            <rFont val="Tahoma"/>
            <family val="2"/>
          </rPr>
          <t>ReportTo~ Date~ Report To Date~ No ~ 1</t>
        </r>
      </text>
    </comment>
    <comment ref="B18" authorId="0">
      <text>
        <r>
          <rPr>
            <b/>
            <sz val="9"/>
            <color indexed="81"/>
            <rFont val="Tahoma"/>
            <family val="2"/>
          </rPr>
          <t>RequisitionNo~ Text~ Resource Requisition Number~ Yes ~ 0</t>
        </r>
      </text>
    </comment>
    <comment ref="C18" authorId="0">
      <text>
        <r>
          <rPr>
            <b/>
            <sz val="9"/>
            <color indexed="81"/>
            <rFont val="Tahoma"/>
            <family val="2"/>
          </rPr>
          <t>VendorName~ Text~ Vendor Name~ No ~ 0</t>
        </r>
      </text>
    </comment>
    <comment ref="D18" authorId="0">
      <text>
        <r>
          <rPr>
            <b/>
            <sz val="9"/>
            <color indexed="81"/>
            <rFont val="Tahoma"/>
            <family val="2"/>
          </rPr>
          <t>RoundNumber~ Number~ Requisition Round Number~ Yes ~ 0</t>
        </r>
      </text>
    </comment>
    <comment ref="E18" authorId="0">
      <text>
        <r>
          <rPr>
            <b/>
            <sz val="9"/>
            <color indexed="81"/>
            <rFont val="Tahoma"/>
            <family val="2"/>
          </rPr>
          <t>FullName~ Text~ Candidate Full Name~ Yes ~ 0</t>
        </r>
      </text>
    </comment>
  </commentList>
</comments>
</file>

<file path=xl/sharedStrings.xml><?xml version="1.0" encoding="utf-8"?>
<sst xmlns="http://schemas.openxmlformats.org/spreadsheetml/2006/main" count="862" uniqueCount="295">
  <si>
    <t>Job Number:</t>
  </si>
  <si>
    <t>Vendor:</t>
  </si>
  <si>
    <t>Round Number:</t>
  </si>
  <si>
    <t>Job Title:</t>
  </si>
  <si>
    <t>PO Number:</t>
  </si>
  <si>
    <t>Year Exp.</t>
  </si>
  <si>
    <t>Requirements Met?</t>
  </si>
  <si>
    <t>Weight</t>
  </si>
  <si>
    <t>Comments (Optional)</t>
  </si>
  <si>
    <t>Skill Set #</t>
  </si>
  <si>
    <t>Skill Set Desc</t>
  </si>
  <si>
    <t>Candidate First Name:</t>
  </si>
  <si>
    <t>Candidate Last Name:</t>
  </si>
  <si>
    <t>Skills Matrix</t>
  </si>
  <si>
    <t>* Fill out your Vendor Name consistently, same as all other submitted documents.</t>
  </si>
  <si>
    <t>* All RED Shaded cells are required to be filled out.</t>
  </si>
  <si>
    <t>* Fill out the Candidate's First and Last LEGAL Name consistently, same as all other submitted documents.</t>
  </si>
  <si>
    <t>HasValue</t>
  </si>
  <si>
    <t>HighLight1</t>
  </si>
  <si>
    <t>HighLight2</t>
  </si>
  <si>
    <t>HighLight3</t>
  </si>
  <si>
    <t>Privacy statement</t>
  </si>
  <si>
    <t>Personal information about you will be collected from your resume, application and/or cover letter under the authority of the Freedom of Information and Protection of Privacy Act, and may be used to assess your qualifications for vacant positions at the WSIB. Information will only be disclosed to WSIB hiring parties and the Talent Acquisition Centre to determine if you meet the requirements of vacant positions. Please email careers@wsib.on.ca, if you wish to have your information removed from our database.</t>
  </si>
  <si>
    <t>Short List:</t>
  </si>
  <si>
    <t>Interview:</t>
  </si>
  <si>
    <t>Hired:</t>
  </si>
  <si>
    <t>Not Met</t>
  </si>
  <si>
    <t>Exceeds</t>
  </si>
  <si>
    <t>Meets</t>
  </si>
  <si>
    <t>Almost Meets</t>
  </si>
  <si>
    <t>Far Exceeds</t>
  </si>
  <si>
    <t>Score:</t>
  </si>
  <si>
    <t>Value</t>
  </si>
  <si>
    <t>Requirements_Met</t>
  </si>
  <si>
    <t>Requirements Met Value</t>
  </si>
  <si>
    <t>Average Skill Points:</t>
  </si>
  <si>
    <t>** If you are submitting more than 3 resumes, you may hit "Ctrl" + "Shift" + "N".  This will create a new tab for you.</t>
  </si>
  <si>
    <t>INSTRUCTIONS</t>
  </si>
  <si>
    <t>Role</t>
  </si>
  <si>
    <t>Stream</t>
  </si>
  <si>
    <t>Application Specialist (Mainframe)</t>
  </si>
  <si>
    <t>Development</t>
  </si>
  <si>
    <t>Application Testing Specialist</t>
  </si>
  <si>
    <t>Testing</t>
  </si>
  <si>
    <t>Applications Architect</t>
  </si>
  <si>
    <t>Architecture</t>
  </si>
  <si>
    <t>BCP Planner/DRP Specialist</t>
  </si>
  <si>
    <t>Business Services</t>
  </si>
  <si>
    <t>Business Analyst</t>
  </si>
  <si>
    <t>Business Architect</t>
  </si>
  <si>
    <t>Business Intelligence Specialist</t>
  </si>
  <si>
    <t>Business Planning Communications</t>
  </si>
  <si>
    <t>Business Process Reengineering Advisor, Practitioner</t>
  </si>
  <si>
    <t>Business Solutions Manager</t>
  </si>
  <si>
    <t>Change Management Leaders</t>
  </si>
  <si>
    <t>Release/Change Management</t>
  </si>
  <si>
    <t>Data Analyst</t>
  </si>
  <si>
    <t>Data Management Services</t>
  </si>
  <si>
    <t>Data Architect</t>
  </si>
  <si>
    <t>Data Conversion Specialist</t>
  </si>
  <si>
    <t>Data Management Manager</t>
  </si>
  <si>
    <t>Data Model Architect</t>
  </si>
  <si>
    <t>Data Services Specialist</t>
  </si>
  <si>
    <t>Database Administrator</t>
  </si>
  <si>
    <t>End User Experience Analyst (Requirements gathering)</t>
  </si>
  <si>
    <t>Financial Analyst</t>
  </si>
  <si>
    <t>Integration Specialist</t>
  </si>
  <si>
    <t>Intrusion/Threat Analyst</t>
  </si>
  <si>
    <t>Security</t>
  </si>
  <si>
    <t>IT Project Manager</t>
  </si>
  <si>
    <t>Project Management</t>
  </si>
  <si>
    <t>Knowledge Management</t>
  </si>
  <si>
    <t>Methodology Specialist</t>
  </si>
  <si>
    <t>Middleware Specialist</t>
  </si>
  <si>
    <t>Mobility Coordinator</t>
  </si>
  <si>
    <t>Network Engineer (Data and Voice)</t>
  </si>
  <si>
    <t>Infrastructure Services</t>
  </si>
  <si>
    <t>PeopleSoft Application Specialist</t>
  </si>
  <si>
    <t>PeopleSoft Technical Specialist</t>
  </si>
  <si>
    <t>Administration</t>
  </si>
  <si>
    <t>Performance Analyst (Help desk/Mobility etc metrics)</t>
  </si>
  <si>
    <t>PKI Specialist</t>
  </si>
  <si>
    <t>PMO Coordinators</t>
  </si>
  <si>
    <t>Portal Application Specialist</t>
  </si>
  <si>
    <t>Portal Technical Specialist</t>
  </si>
  <si>
    <t>Portfolio Manager</t>
  </si>
  <si>
    <t>Process and QMS Senior Analysts</t>
  </si>
  <si>
    <t>Program Manager</t>
  </si>
  <si>
    <t>Project Director</t>
  </si>
  <si>
    <t>Project Manager/Leader</t>
  </si>
  <si>
    <t>Project Security Risk Assessment</t>
  </si>
  <si>
    <t>Project/Change Coordinators (Environments)</t>
  </si>
  <si>
    <t>Quality Analysts (Project Level)</t>
  </si>
  <si>
    <t>Security Architect</t>
  </si>
  <si>
    <t>Security Coordinator</t>
  </si>
  <si>
    <t>Security Specialist</t>
  </si>
  <si>
    <t>Senior Analyst</t>
  </si>
  <si>
    <t>Senior Business Advisor</t>
  </si>
  <si>
    <t>Senior Business Analyst</t>
  </si>
  <si>
    <t>Senior Capacity Planning Analyst (mainframe &amp; open systems)</t>
  </si>
  <si>
    <t>Senior Network Engineer (Data and Voice)</t>
  </si>
  <si>
    <t>Senior Performance Analyst (Metrics &amp; Output)</t>
  </si>
  <si>
    <t>Senior Quality Analysts</t>
  </si>
  <si>
    <t>Senior System Engineer (Mainframe)</t>
  </si>
  <si>
    <t>Senior System Engineer (Storage Systems and UNIX)</t>
  </si>
  <si>
    <t>Senior System Engineer (Wintel/Virtualization)</t>
  </si>
  <si>
    <t>Service Level Leader</t>
  </si>
  <si>
    <t>Service Relationship Managers</t>
  </si>
  <si>
    <t>SharePoint Designer/Developer</t>
  </si>
  <si>
    <t>Software Specialist</t>
  </si>
  <si>
    <t>Solution Designer</t>
  </si>
  <si>
    <t>Systems Administration Support/Operations Support Specialist</t>
  </si>
  <si>
    <t>Systems Analyst</t>
  </si>
  <si>
    <t>Systems Auditor</t>
  </si>
  <si>
    <t>Technical Testing Specialist</t>
  </si>
  <si>
    <t>Technical Writer</t>
  </si>
  <si>
    <t>Technology Architect</t>
  </si>
  <si>
    <t>Technology Infrastructure LAN/WAN Support Specialist</t>
  </si>
  <si>
    <t>Test Automation Specialist</t>
  </si>
  <si>
    <t>Testing Coordinator</t>
  </si>
  <si>
    <t>Training Specialist</t>
  </si>
  <si>
    <t>UI Designer</t>
  </si>
  <si>
    <t>Web Application Designer/Developer</t>
  </si>
  <si>
    <t>Job Stream:</t>
  </si>
  <si>
    <t>Candidate Full Name:</t>
  </si>
  <si>
    <t>ProcessName:</t>
  </si>
  <si>
    <t>HR Professional Service Hiring</t>
  </si>
  <si>
    <t>FormName:</t>
  </si>
  <si>
    <t>FormID_Combined</t>
  </si>
  <si>
    <t>HightLight1</t>
  </si>
  <si>
    <t>HightLight2</t>
  </si>
  <si>
    <t>HasContent</t>
  </si>
  <si>
    <t>Started</t>
  </si>
  <si>
    <t>Report Date:</t>
  </si>
  <si>
    <t>Hired</t>
  </si>
  <si>
    <t>Report Year</t>
  </si>
  <si>
    <t>Report Month</t>
  </si>
  <si>
    <t>Report Quarter</t>
  </si>
  <si>
    <t>Candidate Summary</t>
  </si>
  <si>
    <t>RequisitionNo</t>
  </si>
  <si>
    <t>VendorName</t>
  </si>
  <si>
    <t>Skill1</t>
  </si>
  <si>
    <t>Skill2</t>
  </si>
  <si>
    <t>Skill3</t>
  </si>
  <si>
    <t>Skill4</t>
  </si>
  <si>
    <t>Skill5</t>
  </si>
  <si>
    <t>Skill6</t>
  </si>
  <si>
    <t>Interview</t>
  </si>
  <si>
    <t>Overall Score</t>
  </si>
  <si>
    <t>Round Number</t>
  </si>
  <si>
    <t>Total_RFSs</t>
  </si>
  <si>
    <t># of Candidates</t>
  </si>
  <si>
    <t># of Candidates per RFS</t>
  </si>
  <si>
    <t>Interviews</t>
  </si>
  <si>
    <t>Hires</t>
  </si>
  <si>
    <t>Vendor Summary By Stream</t>
  </si>
  <si>
    <t>Vendor Name</t>
  </si>
  <si>
    <t>Full Name</t>
  </si>
  <si>
    <t>Role Title</t>
  </si>
  <si>
    <t>Average Skill</t>
  </si>
  <si>
    <t>Short List</t>
  </si>
  <si>
    <t>Report Date</t>
  </si>
  <si>
    <t>Report From Date:</t>
  </si>
  <si>
    <t>Report To Date:</t>
  </si>
  <si>
    <t>RoundNumber</t>
  </si>
  <si>
    <t>FullName</t>
  </si>
  <si>
    <t>RoleTitle</t>
  </si>
  <si>
    <t>OverallScore</t>
  </si>
  <si>
    <t>AverageSkill</t>
  </si>
  <si>
    <t>ShortList</t>
  </si>
  <si>
    <t>ReportDate</t>
  </si>
  <si>
    <t>Vendor Date:</t>
  </si>
  <si>
    <t>Report Inputs</t>
  </si>
  <si>
    <t>Requisition Number:</t>
  </si>
  <si>
    <t>Program Version:</t>
  </si>
  <si>
    <t>Last Updated:</t>
  </si>
  <si>
    <t>Update Comment:</t>
  </si>
  <si>
    <t>Dec/04/2014</t>
  </si>
  <si>
    <t>Email System Friendly, and No need to input password to unlock based on user ID behind the scene.</t>
  </si>
  <si>
    <t>Kofax Specialist</t>
  </si>
  <si>
    <t>Stream Lead</t>
  </si>
  <si>
    <t>PeopleSoft Administrator</t>
  </si>
  <si>
    <t>If you see this you have to enable Macros</t>
  </si>
  <si>
    <t>This can be done here by clicking options and selecting "enable this content"</t>
  </si>
  <si>
    <t>OR</t>
  </si>
  <si>
    <t>by clicking enable Macros if this pop is seen when loading document</t>
  </si>
  <si>
    <t>If you don't see either option</t>
  </si>
  <si>
    <t>Close and reopen the document and you should see it.</t>
  </si>
  <si>
    <t>Make sure that your file is a .xlsm. If it is not, it has been saved incorrectly in the Macros have been removed</t>
  </si>
  <si>
    <t>Application Lead Specialist</t>
  </si>
  <si>
    <t>Senior Enterprise Scheduling Specialist</t>
  </si>
  <si>
    <t>Technical Systems Business Analyst</t>
  </si>
  <si>
    <t>Quality Management Analyst</t>
  </si>
  <si>
    <t>ETL Developers</t>
  </si>
  <si>
    <t>Senior Process Designer</t>
  </si>
  <si>
    <t>Skill7</t>
  </si>
  <si>
    <t>Senior IT Project Manager</t>
  </si>
  <si>
    <t>Director, Production Support</t>
  </si>
  <si>
    <t>Project Coordinator</t>
  </si>
  <si>
    <t>TCM Administrator</t>
  </si>
  <si>
    <t>Manager, Enterprise Architecture</t>
  </si>
  <si>
    <t>Senior Application Architect</t>
  </si>
  <si>
    <t xml:space="preserve">Director, Production Support </t>
  </si>
  <si>
    <t>IT General Controls Analyst</t>
  </si>
  <si>
    <t>Release Management Contract</t>
  </si>
  <si>
    <t>Senior Program Management Analyst</t>
  </si>
  <si>
    <t>Data Modeler/Data Warehouse Architect</t>
  </si>
  <si>
    <t>Data Warehouse Architect</t>
  </si>
  <si>
    <t>Datastage Developer</t>
  </si>
  <si>
    <t>EDW Specialist</t>
  </si>
  <si>
    <t>Applications Specialist Accounts</t>
  </si>
  <si>
    <t>Applications Specialist Corporate Systems</t>
  </si>
  <si>
    <t>Applications Specialist Health/Claims</t>
  </si>
  <si>
    <t>Cognos Specialist</t>
  </si>
  <si>
    <t>Enterprise Service Bus Administration Specialist</t>
  </si>
  <si>
    <t>Guidewire Technical Specialist</t>
  </si>
  <si>
    <t>Software Build Engineer</t>
  </si>
  <si>
    <t>Technical Lead/Incident Coordinator</t>
  </si>
  <si>
    <t>Technical Systems Analyst</t>
  </si>
  <si>
    <t>Senior Systems Engineer (Mainframe)</t>
  </si>
  <si>
    <t>Systems Engineer</t>
  </si>
  <si>
    <t>IT Finance</t>
  </si>
  <si>
    <t>Manager, Application Services</t>
  </si>
  <si>
    <t>Project Manager</t>
  </si>
  <si>
    <t>Senior Project Manager (IT)</t>
  </si>
  <si>
    <t>Business Intelligence and Reporting Specialist</t>
  </si>
  <si>
    <t>Reporting</t>
  </si>
  <si>
    <t>Project Technical Lead</t>
  </si>
  <si>
    <t xml:space="preserve">Cognos Developers </t>
  </si>
  <si>
    <t xml:space="preserve">Reporting </t>
  </si>
  <si>
    <t>Mainframe Developer</t>
  </si>
  <si>
    <t>Team Lead, IT Testing</t>
  </si>
  <si>
    <t>Senior Transition Project Management</t>
  </si>
  <si>
    <t>RFS 2016-101-GB</t>
  </si>
  <si>
    <t>01 Millennium Consulting</t>
  </si>
  <si>
    <t>Altis Human Resources Inc</t>
  </si>
  <si>
    <t>Bagg Technology Resources</t>
  </si>
  <si>
    <t>Bevertec CST Inc</t>
  </si>
  <si>
    <t>Brainhunter (Zylog)</t>
  </si>
  <si>
    <t>Eagle Professional Resources Inc</t>
  </si>
  <si>
    <t>GSI International Consulting Group</t>
  </si>
  <si>
    <t>Maplesoft Consulting Inc</t>
  </si>
  <si>
    <t>Modis</t>
  </si>
  <si>
    <t>Procom Consultants Group Ltd</t>
  </si>
  <si>
    <t>Teamrecruiter.com Inc</t>
  </si>
  <si>
    <t>Brent Streeter</t>
  </si>
  <si>
    <t>Christopher Nicholson</t>
  </si>
  <si>
    <t>Mira Choi</t>
  </si>
  <si>
    <t>Adele MacAskill</t>
  </si>
  <si>
    <t>Albert Morosin</t>
  </si>
  <si>
    <t>Graeme Abrahams</t>
  </si>
  <si>
    <t>Dale Williams</t>
  </si>
  <si>
    <t>Jatin Sanghavi</t>
  </si>
  <si>
    <t>Ray Persaud</t>
  </si>
  <si>
    <t>Howard Goshulak</t>
  </si>
  <si>
    <t>Tahir Ramzi</t>
  </si>
  <si>
    <t>Thomas DiPasquale</t>
  </si>
  <si>
    <t>Dave Bhargav</t>
  </si>
  <si>
    <t>David Newbury</t>
  </si>
  <si>
    <t>Shobhit Sah</t>
  </si>
  <si>
    <t>Guy Cheung</t>
  </si>
  <si>
    <t>Kalman Brettler</t>
  </si>
  <si>
    <t>Robson Picinato</t>
  </si>
  <si>
    <t>Alexander Maksimenko</t>
  </si>
  <si>
    <t>Muzammil  Khan</t>
  </si>
  <si>
    <t>Rij Basak</t>
  </si>
  <si>
    <t>Gord Fogel</t>
  </si>
  <si>
    <t>Camilo  Ramirez</t>
  </si>
  <si>
    <t>George Athanasoulis</t>
  </si>
  <si>
    <t>Jocelyn Kennedy</t>
  </si>
  <si>
    <t>Izabella Amelina</t>
  </si>
  <si>
    <t>Jon Cain</t>
  </si>
  <si>
    <t>Margaret  Francis</t>
  </si>
  <si>
    <t>Lotfahi Lashani</t>
  </si>
  <si>
    <t>Thomas  Kreimes</t>
  </si>
  <si>
    <t>Varinder Jhandi</t>
  </si>
  <si>
    <t>Atlassian Administrator</t>
  </si>
  <si>
    <t>3+ years experience administrating Atlassian products (Jira, Confluence, Bitbucket, HipChat, Bamboo).</t>
  </si>
  <si>
    <t>Experience directly integrating Atlassian products with other applications.</t>
  </si>
  <si>
    <t>Experience of performing application and system administration tasks, including data backups and scheduled jobs.</t>
  </si>
  <si>
    <t>Experience in performing Linux administration tasks.</t>
  </si>
  <si>
    <t>Strong knowledge and familiarity with JQL.</t>
  </si>
  <si>
    <t>Strong knowledge and experience with Scrum and Kanban methodologies.</t>
  </si>
  <si>
    <t>Strong knowledge of scripting, configuration management tools like Ansible</t>
  </si>
  <si>
    <t>Talormay</t>
  </si>
  <si>
    <t xml:space="preserve">Thara </t>
  </si>
  <si>
    <t>Savio</t>
  </si>
  <si>
    <t xml:space="preserve">I have administrated JIRA and Confluence servers. </t>
  </si>
  <si>
    <t>&lt;1</t>
  </si>
  <si>
    <t xml:space="preserve">I have not integrated JIRA and confluence with other application. They are stand alone servers installed on Centos OS. </t>
  </si>
  <si>
    <t>Yes we do. We do take backup of mysql servers as well</t>
  </si>
  <si>
    <t>I have 5 years of experience .</t>
  </si>
  <si>
    <t>For creating filters and customizing Dashboards.</t>
  </si>
  <si>
    <t>Kanban methodology for tracking the issues</t>
  </si>
  <si>
    <t>strong scripying skills, Knows Ansible</t>
  </si>
</sst>
</file>

<file path=xl/styles.xml><?xml version="1.0" encoding="utf-8"?>
<styleSheet xmlns="http://schemas.openxmlformats.org/spreadsheetml/2006/main">
  <numFmts count="1">
    <numFmt numFmtId="164" formatCode="_(* #,##0.00_);_(* \(#,##0.00\);_(* &quot;-&quot;??_);_(@_)"/>
  </numFmts>
  <fonts count="21">
    <font>
      <sz val="11"/>
      <color theme="1"/>
      <name val="Calibri"/>
      <family val="2"/>
      <scheme val="minor"/>
    </font>
    <font>
      <sz val="11"/>
      <color rgb="FF3F3F76"/>
      <name val="Calibri"/>
      <family val="2"/>
      <scheme val="minor"/>
    </font>
    <font>
      <sz val="11"/>
      <color theme="0"/>
      <name val="Calibri"/>
      <family val="2"/>
      <scheme val="minor"/>
    </font>
    <font>
      <sz val="24"/>
      <color theme="0"/>
      <name val="Calibri"/>
      <family val="2"/>
      <scheme val="minor"/>
    </font>
    <font>
      <b/>
      <sz val="12"/>
      <color theme="1"/>
      <name val="Calibri"/>
      <family val="2"/>
      <scheme val="minor"/>
    </font>
    <font>
      <b/>
      <sz val="11"/>
      <color rgb="FFFA7D00"/>
      <name val="Calibri"/>
      <family val="2"/>
      <scheme val="minor"/>
    </font>
    <font>
      <b/>
      <sz val="9"/>
      <color indexed="81"/>
      <name val="Tahoma"/>
      <family val="2"/>
    </font>
    <font>
      <b/>
      <sz val="20"/>
      <color theme="6" tint="-0.249977111117893"/>
      <name val="Calibri"/>
      <family val="2"/>
      <scheme val="minor"/>
    </font>
    <font>
      <b/>
      <sz val="20"/>
      <color theme="3"/>
      <name val="Calibri"/>
      <family val="2"/>
      <scheme val="minor"/>
    </font>
    <font>
      <b/>
      <sz val="15"/>
      <color theme="3"/>
      <name val="Calibri"/>
      <family val="2"/>
      <scheme val="minor"/>
    </font>
    <font>
      <b/>
      <sz val="11"/>
      <color rgb="FFFF0000"/>
      <name val="Calibri"/>
      <family val="2"/>
      <scheme val="minor"/>
    </font>
    <font>
      <b/>
      <sz val="11"/>
      <color theme="0"/>
      <name val="Calibri"/>
      <family val="2"/>
      <scheme val="minor"/>
    </font>
    <font>
      <sz val="11"/>
      <name val="Calibri"/>
      <family val="2"/>
      <scheme val="minor"/>
    </font>
    <font>
      <sz val="11"/>
      <color theme="1"/>
      <name val="Calibri"/>
      <family val="2"/>
      <scheme val="minor"/>
    </font>
    <font>
      <sz val="10"/>
      <color indexed="8"/>
      <name val="Arial"/>
      <family val="2"/>
    </font>
    <font>
      <sz val="11"/>
      <name val="Calibri"/>
      <family val="2"/>
    </font>
    <font>
      <sz val="10"/>
      <name val="Arial"/>
      <family val="2"/>
    </font>
    <font>
      <b/>
      <sz val="11"/>
      <color theme="1"/>
      <name val="Calibri"/>
      <family val="2"/>
      <scheme val="minor"/>
    </font>
    <font>
      <b/>
      <u/>
      <sz val="16"/>
      <color theme="1"/>
      <name val="Calibri"/>
      <family val="2"/>
      <scheme val="minor"/>
    </font>
    <font>
      <b/>
      <u/>
      <sz val="14"/>
      <color theme="1"/>
      <name val="Calibri"/>
      <family val="2"/>
      <scheme val="minor"/>
    </font>
    <font>
      <b/>
      <sz val="11"/>
      <color rgb="FF3F3F76"/>
      <name val="Calibri"/>
      <family val="2"/>
      <scheme val="minor"/>
    </font>
  </fonts>
  <fills count="7">
    <fill>
      <patternFill patternType="none"/>
    </fill>
    <fill>
      <patternFill patternType="gray125"/>
    </fill>
    <fill>
      <patternFill patternType="solid">
        <fgColor rgb="FFFFCC99"/>
      </patternFill>
    </fill>
    <fill>
      <patternFill patternType="solid">
        <fgColor theme="6"/>
      </patternFill>
    </fill>
    <fill>
      <patternFill patternType="solid">
        <fgColor theme="6" tint="-0.24994659260841701"/>
        <bgColor indexed="64"/>
      </patternFill>
    </fill>
    <fill>
      <patternFill patternType="solid">
        <fgColor rgb="FFF2F2F2"/>
      </patternFill>
    </fill>
    <fill>
      <patternFill patternType="solid">
        <fgColor theme="4"/>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thick">
        <color theme="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s>
  <cellStyleXfs count="8">
    <xf numFmtId="0" fontId="0" fillId="0" borderId="0"/>
    <xf numFmtId="0" fontId="1" fillId="2" borderId="1" applyNumberFormat="0" applyAlignment="0" applyProtection="0"/>
    <xf numFmtId="0" fontId="2" fillId="3" borderId="0" applyNumberFormat="0" applyBorder="0" applyAlignment="0" applyProtection="0"/>
    <xf numFmtId="0" fontId="5" fillId="5" borderId="1" applyNumberFormat="0" applyAlignment="0" applyProtection="0"/>
    <xf numFmtId="0" fontId="9" fillId="0" borderId="14" applyNumberFormat="0" applyFill="0" applyAlignment="0" applyProtection="0"/>
    <xf numFmtId="0" fontId="2" fillId="6" borderId="0" applyNumberFormat="0" applyBorder="0" applyAlignment="0" applyProtection="0"/>
    <xf numFmtId="164" fontId="13" fillId="0" borderId="0" applyFont="0" applyFill="0" applyBorder="0" applyAlignment="0" applyProtection="0"/>
    <xf numFmtId="0" fontId="14" fillId="0" borderId="0"/>
  </cellStyleXfs>
  <cellXfs count="92">
    <xf numFmtId="0" fontId="0" fillId="0" borderId="0" xfId="0"/>
    <xf numFmtId="0" fontId="0" fillId="0" borderId="0" xfId="0" applyAlignment="1">
      <alignment horizontal="right"/>
    </xf>
    <xf numFmtId="0" fontId="0" fillId="0" borderId="0" xfId="0"/>
    <xf numFmtId="0" fontId="0" fillId="0" borderId="0" xfId="0" applyAlignment="1">
      <alignment horizontal="left"/>
    </xf>
    <xf numFmtId="0" fontId="2" fillId="4" borderId="3" xfId="2" applyFont="1" applyFill="1" applyBorder="1" applyAlignment="1">
      <alignment horizontal="center"/>
    </xf>
    <xf numFmtId="0" fontId="2" fillId="4" borderId="4" xfId="2" applyFont="1" applyFill="1" applyBorder="1" applyAlignment="1">
      <alignment horizontal="center"/>
    </xf>
    <xf numFmtId="0" fontId="2" fillId="4" borderId="5" xfId="2" applyFont="1" applyFill="1" applyBorder="1" applyAlignment="1">
      <alignment horizontal="center"/>
    </xf>
    <xf numFmtId="0" fontId="0" fillId="0" borderId="6" xfId="0" applyBorder="1" applyAlignment="1">
      <alignment horizontal="center" vertical="center"/>
    </xf>
    <xf numFmtId="0" fontId="0" fillId="0" borderId="8" xfId="0" applyBorder="1" applyAlignment="1">
      <alignment horizontal="center" vertical="center"/>
    </xf>
    <xf numFmtId="0" fontId="3" fillId="0" borderId="12" xfId="2" applyFont="1" applyFill="1" applyBorder="1" applyAlignment="1">
      <alignment horizontal="left"/>
    </xf>
    <xf numFmtId="0" fontId="3" fillId="0" borderId="0" xfId="2" applyFont="1" applyFill="1" applyBorder="1" applyAlignment="1">
      <alignment horizontal="left"/>
    </xf>
    <xf numFmtId="0" fontId="3" fillId="0" borderId="13" xfId="2" applyFont="1" applyFill="1" applyBorder="1" applyAlignment="1">
      <alignment horizontal="left"/>
    </xf>
    <xf numFmtId="0" fontId="4" fillId="0" borderId="12" xfId="0" applyFont="1" applyBorder="1" applyAlignment="1">
      <alignment horizontal="right"/>
    </xf>
    <xf numFmtId="0" fontId="0" fillId="0" borderId="0" xfId="0" applyBorder="1"/>
    <xf numFmtId="0" fontId="4" fillId="0" borderId="0" xfId="0" applyFont="1" applyBorder="1" applyAlignment="1">
      <alignment horizontal="right"/>
    </xf>
    <xf numFmtId="0" fontId="1" fillId="2" borderId="2" xfId="1" applyBorder="1" applyAlignment="1" applyProtection="1">
      <alignment horizontal="center" vertical="center"/>
      <protection locked="0"/>
    </xf>
    <xf numFmtId="0" fontId="1" fillId="2" borderId="2" xfId="1" applyBorder="1" applyAlignment="1" applyProtection="1">
      <alignment horizontal="center" vertical="center" wrapText="1"/>
      <protection locked="0"/>
    </xf>
    <xf numFmtId="0" fontId="7" fillId="0" borderId="0" xfId="0" applyFont="1" applyAlignment="1">
      <alignment vertical="center"/>
    </xf>
    <xf numFmtId="0" fontId="5" fillId="5" borderId="2" xfId="3" applyBorder="1" applyAlignment="1" applyProtection="1">
      <alignment horizontal="center" vertical="center" wrapText="1"/>
      <protection locked="0"/>
    </xf>
    <xf numFmtId="1" fontId="0" fillId="0" borderId="0" xfId="0" applyNumberFormat="1"/>
    <xf numFmtId="1" fontId="3" fillId="0" borderId="0" xfId="2" applyNumberFormat="1" applyFont="1" applyFill="1" applyBorder="1" applyAlignment="1">
      <alignment horizontal="left"/>
    </xf>
    <xf numFmtId="1" fontId="0" fillId="0" borderId="0" xfId="0" applyNumberFormat="1" applyBorder="1"/>
    <xf numFmtId="1" fontId="2" fillId="4" borderId="4" xfId="2" applyNumberFormat="1" applyFont="1" applyFill="1" applyBorder="1" applyAlignment="1">
      <alignment horizontal="center"/>
    </xf>
    <xf numFmtId="0" fontId="8" fillId="0" borderId="0" xfId="0" applyFont="1" applyAlignment="1">
      <alignment horizontal="left"/>
    </xf>
    <xf numFmtId="0" fontId="0" fillId="0" borderId="0" xfId="0" applyProtection="1"/>
    <xf numFmtId="0" fontId="0" fillId="0" borderId="0" xfId="0" applyProtection="1">
      <protection locked="0"/>
    </xf>
    <xf numFmtId="0" fontId="10" fillId="0" borderId="0" xfId="0" applyFont="1" applyAlignment="1">
      <alignment horizontal="left"/>
    </xf>
    <xf numFmtId="0" fontId="9" fillId="0" borderId="14" xfId="4" applyProtection="1">
      <protection locked="0"/>
    </xf>
    <xf numFmtId="0" fontId="2" fillId="6" borderId="0" xfId="5" applyProtection="1">
      <protection locked="0"/>
    </xf>
    <xf numFmtId="0" fontId="2" fillId="6" borderId="16" xfId="5" applyBorder="1" applyAlignment="1" applyProtection="1">
      <alignment horizontal="center" vertical="center" wrapText="1"/>
      <protection locked="0"/>
    </xf>
    <xf numFmtId="0" fontId="2" fillId="6" borderId="17" xfId="5" applyBorder="1" applyAlignment="1" applyProtection="1">
      <alignment horizontal="center" vertical="center" wrapText="1"/>
      <protection locked="0"/>
    </xf>
    <xf numFmtId="0" fontId="11" fillId="6" borderId="17" xfId="5" applyFont="1" applyFill="1" applyBorder="1" applyAlignment="1" applyProtection="1">
      <alignment horizontal="center" vertical="center" wrapText="1"/>
      <protection locked="0"/>
    </xf>
    <xf numFmtId="0" fontId="2" fillId="6" borderId="18" xfId="5" applyBorder="1" applyAlignment="1" applyProtection="1">
      <alignment horizontal="center" vertical="center" wrapText="1"/>
      <protection locked="0"/>
    </xf>
    <xf numFmtId="0" fontId="12" fillId="0" borderId="20" xfId="3" applyFont="1" applyFill="1" applyBorder="1" applyAlignment="1" applyProtection="1">
      <alignment horizontal="center" vertical="center" wrapText="1"/>
      <protection locked="0"/>
    </xf>
    <xf numFmtId="0" fontId="12" fillId="0" borderId="21" xfId="1" applyFont="1" applyFill="1" applyBorder="1" applyAlignment="1" applyProtection="1">
      <alignment horizontal="center" vertical="center" wrapText="1"/>
      <protection locked="0"/>
    </xf>
    <xf numFmtId="0" fontId="12" fillId="0" borderId="21" xfId="3" applyFont="1" applyFill="1" applyBorder="1" applyAlignment="1" applyProtection="1">
      <alignment horizontal="center" vertical="center" wrapText="1"/>
      <protection locked="0"/>
    </xf>
    <xf numFmtId="0" fontId="12" fillId="0" borderId="21" xfId="0" applyFont="1" applyBorder="1" applyAlignment="1" applyProtection="1">
      <alignment horizontal="center" vertical="center" wrapText="1"/>
      <protection locked="0"/>
    </xf>
    <xf numFmtId="164" fontId="12" fillId="0" borderId="21" xfId="6" applyNumberFormat="1" applyFont="1" applyFill="1" applyBorder="1" applyAlignment="1" applyProtection="1">
      <alignment horizontal="center" vertical="center" wrapText="1"/>
      <protection locked="0"/>
    </xf>
    <xf numFmtId="14" fontId="12" fillId="0" borderId="21" xfId="1" applyNumberFormat="1" applyFont="1" applyFill="1" applyBorder="1" applyAlignment="1" applyProtection="1">
      <alignment horizontal="center" vertical="center" wrapText="1"/>
      <protection locked="0"/>
    </xf>
    <xf numFmtId="1" fontId="5" fillId="5" borderId="2" xfId="3" applyNumberFormat="1" applyBorder="1" applyAlignment="1" applyProtection="1">
      <alignment horizontal="center" vertical="center" wrapText="1"/>
      <protection locked="0"/>
    </xf>
    <xf numFmtId="0" fontId="5" fillId="5" borderId="22" xfId="3" applyBorder="1" applyAlignment="1" applyProtection="1">
      <alignment horizontal="center" vertical="center" wrapText="1"/>
      <protection locked="0"/>
    </xf>
    <xf numFmtId="1" fontId="5" fillId="5" borderId="22" xfId="3" applyNumberFormat="1" applyBorder="1" applyAlignment="1" applyProtection="1">
      <alignment horizontal="center" vertical="center" wrapText="1"/>
      <protection locked="0"/>
    </xf>
    <xf numFmtId="0" fontId="1" fillId="2" borderId="22" xfId="1" applyBorder="1" applyAlignment="1" applyProtection="1">
      <alignment horizontal="center" vertical="center" wrapText="1"/>
      <protection locked="0"/>
    </xf>
    <xf numFmtId="0" fontId="0" fillId="0" borderId="24" xfId="0" applyBorder="1" applyAlignment="1">
      <alignment horizontal="right"/>
    </xf>
    <xf numFmtId="0" fontId="0" fillId="0" borderId="25" xfId="0" applyBorder="1"/>
    <xf numFmtId="1" fontId="0" fillId="0" borderId="25" xfId="0" applyNumberFormat="1" applyBorder="1"/>
    <xf numFmtId="0" fontId="0" fillId="0" borderId="26" xfId="0" applyBorder="1"/>
    <xf numFmtId="0" fontId="15" fillId="0" borderId="19" xfId="7" applyFont="1" applyFill="1" applyBorder="1" applyAlignment="1" applyProtection="1">
      <alignment horizontal="center" vertical="center" wrapText="1"/>
      <protection locked="0"/>
    </xf>
    <xf numFmtId="0" fontId="15" fillId="0" borderId="2" xfId="7" applyFont="1" applyFill="1" applyBorder="1" applyAlignment="1" applyProtection="1">
      <alignment horizontal="center" vertical="center" wrapText="1"/>
      <protection locked="0"/>
    </xf>
    <xf numFmtId="0" fontId="16" fillId="0" borderId="2" xfId="7" applyFont="1" applyFill="1" applyBorder="1" applyAlignment="1" applyProtection="1">
      <alignment horizontal="center" vertical="center" wrapText="1"/>
      <protection locked="0"/>
    </xf>
    <xf numFmtId="0" fontId="16" fillId="0" borderId="15" xfId="7" applyFont="1" applyFill="1" applyBorder="1" applyAlignment="1" applyProtection="1">
      <alignment horizontal="center" vertical="center" wrapText="1"/>
      <protection locked="0"/>
    </xf>
    <xf numFmtId="0" fontId="5" fillId="5" borderId="7" xfId="3" applyBorder="1" applyAlignment="1" applyProtection="1">
      <alignment horizontal="center" vertical="center" wrapText="1"/>
      <protection locked="0"/>
    </xf>
    <xf numFmtId="0" fontId="1" fillId="2" borderId="7" xfId="1" applyBorder="1" applyAlignment="1" applyProtection="1">
      <alignment horizontal="center" vertical="center"/>
      <protection locked="0"/>
    </xf>
    <xf numFmtId="0" fontId="5" fillId="5" borderId="7" xfId="3" applyBorder="1" applyAlignment="1" applyProtection="1">
      <alignment horizontal="center" vertical="center" wrapText="1"/>
    </xf>
    <xf numFmtId="0" fontId="0" fillId="0" borderId="0" xfId="0" applyAlignment="1" applyProtection="1">
      <alignment horizontal="center"/>
      <protection locked="0"/>
    </xf>
    <xf numFmtId="0" fontId="17" fillId="0" borderId="0" xfId="0" applyFont="1" applyProtection="1">
      <protection locked="0"/>
    </xf>
    <xf numFmtId="0" fontId="11" fillId="6" borderId="16" xfId="5" applyFont="1" applyBorder="1" applyAlignment="1" applyProtection="1">
      <alignment horizontal="center" vertical="center" wrapText="1"/>
      <protection locked="0"/>
    </xf>
    <xf numFmtId="0" fontId="11" fillId="6" borderId="17" xfId="5" applyFont="1" applyBorder="1" applyAlignment="1" applyProtection="1">
      <alignment horizontal="center" vertical="center" wrapText="1"/>
      <protection locked="0"/>
    </xf>
    <xf numFmtId="0" fontId="12" fillId="0" borderId="19" xfId="3" applyFont="1" applyFill="1" applyBorder="1" applyAlignment="1" applyProtection="1">
      <alignment horizontal="center" vertical="center" wrapText="1"/>
      <protection locked="0"/>
    </xf>
    <xf numFmtId="0" fontId="12" fillId="0" borderId="2" xfId="1" applyFont="1" applyFill="1" applyBorder="1" applyAlignment="1" applyProtection="1">
      <alignment horizontal="center" vertical="center" wrapText="1"/>
      <protection locked="0"/>
    </xf>
    <xf numFmtId="0" fontId="12" fillId="0" borderId="2" xfId="3" applyFont="1" applyFill="1" applyBorder="1" applyAlignment="1" applyProtection="1">
      <alignment horizontal="center" vertical="center" wrapText="1"/>
      <protection locked="0"/>
    </xf>
    <xf numFmtId="0" fontId="12" fillId="0" borderId="2" xfId="0" applyFont="1" applyBorder="1" applyAlignment="1" applyProtection="1">
      <alignment horizontal="center" vertical="center" wrapText="1"/>
      <protection locked="0"/>
    </xf>
    <xf numFmtId="164" fontId="12" fillId="0" borderId="2" xfId="6" applyNumberFormat="1" applyFont="1" applyFill="1" applyBorder="1" applyAlignment="1" applyProtection="1">
      <alignment horizontal="center" vertical="center" wrapText="1"/>
      <protection locked="0"/>
    </xf>
    <xf numFmtId="14" fontId="12" fillId="0" borderId="2" xfId="1" applyNumberFormat="1" applyFont="1" applyFill="1" applyBorder="1" applyAlignment="1" applyProtection="1">
      <alignment horizontal="center" vertical="center" wrapText="1"/>
      <protection locked="0"/>
    </xf>
    <xf numFmtId="14" fontId="5" fillId="5" borderId="27" xfId="3" applyNumberFormat="1" applyBorder="1" applyAlignment="1" applyProtection="1">
      <alignment horizontal="center" vertical="center" wrapText="1"/>
    </xf>
    <xf numFmtId="14" fontId="0" fillId="0" borderId="0" xfId="0" applyNumberFormat="1"/>
    <xf numFmtId="0" fontId="1" fillId="2" borderId="7" xfId="1" applyBorder="1" applyAlignment="1" applyProtection="1">
      <alignment horizontal="center" vertical="center" wrapText="1"/>
      <protection locked="0"/>
    </xf>
    <xf numFmtId="0" fontId="1" fillId="2" borderId="23" xfId="1" applyBorder="1" applyAlignment="1" applyProtection="1">
      <alignment horizontal="center" vertical="center" wrapText="1"/>
      <protection locked="0"/>
    </xf>
    <xf numFmtId="0" fontId="0" fillId="0" borderId="0" xfId="0" applyAlignment="1" applyProtection="1">
      <alignment horizontal="right"/>
      <protection locked="0"/>
    </xf>
    <xf numFmtId="14" fontId="1" fillId="2" borderId="2" xfId="1" applyNumberFormat="1" applyBorder="1" applyAlignment="1" applyProtection="1">
      <alignment horizontal="center" vertical="center" wrapText="1"/>
      <protection locked="0"/>
    </xf>
    <xf numFmtId="0" fontId="1" fillId="2" borderId="2" xfId="1" applyBorder="1" applyAlignment="1" applyProtection="1">
      <alignment horizontal="center"/>
      <protection locked="0"/>
    </xf>
    <xf numFmtId="0" fontId="0" fillId="0" borderId="0" xfId="0" applyAlignment="1">
      <alignment horizontal="center"/>
    </xf>
    <xf numFmtId="0" fontId="2" fillId="6" borderId="0" xfId="5" applyAlignment="1">
      <alignment horizontal="center"/>
    </xf>
    <xf numFmtId="0" fontId="2" fillId="6" borderId="0" xfId="5"/>
    <xf numFmtId="0" fontId="5" fillId="5" borderId="2" xfId="3" applyBorder="1" applyAlignment="1" applyProtection="1">
      <alignment horizontal="center" vertical="center" wrapText="1"/>
      <protection locked="0"/>
    </xf>
    <xf numFmtId="1" fontId="5" fillId="5" borderId="2" xfId="3" applyNumberFormat="1" applyBorder="1" applyAlignment="1" applyProtection="1">
      <alignment horizontal="center" vertical="center" wrapText="1"/>
      <protection locked="0"/>
    </xf>
    <xf numFmtId="0" fontId="18" fillId="0" borderId="0" xfId="0" applyFont="1" applyFill="1"/>
    <xf numFmtId="0" fontId="0" fillId="0" borderId="0" xfId="0" applyFill="1"/>
    <xf numFmtId="0" fontId="17" fillId="0" borderId="0" xfId="0" applyFont="1" applyFill="1"/>
    <xf numFmtId="0" fontId="19" fillId="0" borderId="0" xfId="0" applyFont="1" applyFill="1"/>
    <xf numFmtId="0" fontId="0" fillId="0" borderId="28" xfId="0" applyBorder="1" applyAlignment="1">
      <alignment horizontal="center" vertical="center"/>
    </xf>
    <xf numFmtId="0" fontId="1" fillId="2" borderId="29" xfId="1" applyBorder="1" applyAlignment="1" applyProtection="1">
      <alignment horizontal="center" vertical="center" wrapText="1"/>
      <protection locked="0"/>
    </xf>
    <xf numFmtId="0" fontId="20" fillId="2" borderId="2" xfId="1" applyFont="1" applyBorder="1" applyAlignment="1" applyProtection="1">
      <alignment horizontal="center"/>
      <protection locked="0"/>
    </xf>
    <xf numFmtId="0" fontId="12" fillId="0" borderId="30" xfId="0" applyFont="1" applyBorder="1" applyAlignment="1" applyProtection="1">
      <alignment horizontal="center" vertical="center" wrapText="1"/>
      <protection locked="0"/>
    </xf>
    <xf numFmtId="0" fontId="15" fillId="0" borderId="20" xfId="7" applyFont="1" applyFill="1" applyBorder="1" applyAlignment="1" applyProtection="1">
      <alignment horizontal="center" vertical="center" wrapText="1"/>
      <protection locked="0"/>
    </xf>
    <xf numFmtId="0" fontId="15" fillId="0" borderId="21" xfId="7" applyFont="1" applyFill="1" applyBorder="1" applyAlignment="1" applyProtection="1">
      <alignment horizontal="center" vertical="center" wrapText="1"/>
      <protection locked="0"/>
    </xf>
    <xf numFmtId="0" fontId="16" fillId="0" borderId="21" xfId="7" applyFont="1" applyFill="1" applyBorder="1" applyAlignment="1" applyProtection="1">
      <alignment horizontal="center" vertical="center" wrapText="1"/>
      <protection locked="0"/>
    </xf>
    <xf numFmtId="0" fontId="16" fillId="0" borderId="31" xfId="7" applyFont="1" applyFill="1" applyBorder="1" applyAlignment="1" applyProtection="1">
      <alignment horizontal="center" vertical="center" wrapText="1"/>
      <protection locked="0"/>
    </xf>
    <xf numFmtId="0" fontId="3" fillId="4" borderId="9" xfId="2" applyFont="1" applyFill="1" applyBorder="1" applyAlignment="1">
      <alignment horizontal="left"/>
    </xf>
    <xf numFmtId="0" fontId="3" fillId="4" borderId="10" xfId="2" applyFont="1" applyFill="1" applyBorder="1" applyAlignment="1">
      <alignment horizontal="left"/>
    </xf>
    <xf numFmtId="0" fontId="3" fillId="4" borderId="11" xfId="2" applyFont="1" applyFill="1" applyBorder="1" applyAlignment="1">
      <alignment horizontal="left"/>
    </xf>
    <xf numFmtId="0" fontId="0" fillId="0" borderId="0" xfId="0" applyAlignment="1">
      <alignment horizontal="left" vertical="top" wrapText="1"/>
    </xf>
  </cellXfs>
  <cellStyles count="8">
    <cellStyle name="Accent1" xfId="5" builtinId="29"/>
    <cellStyle name="Accent3" xfId="2" builtinId="37"/>
    <cellStyle name="Calculation" xfId="3" builtinId="22"/>
    <cellStyle name="Comma" xfId="6" builtinId="3"/>
    <cellStyle name="Heading 1" xfId="4" builtinId="16"/>
    <cellStyle name="Input" xfId="1" builtinId="20"/>
    <cellStyle name="Normal" xfId="0" builtinId="0"/>
    <cellStyle name="Normal_Summary_Template" xfId="7"/>
  </cellStyles>
  <dxfs count="135">
    <dxf>
      <font>
        <b val="0"/>
        <i val="0"/>
        <strike val="0"/>
        <condense val="0"/>
        <extend val="0"/>
        <outline val="0"/>
        <shadow val="0"/>
        <u val="none"/>
        <vertAlign val="baseline"/>
        <sz val="11"/>
        <color auto="1"/>
        <name val="Calibri"/>
        <scheme val="minor"/>
      </font>
      <numFmt numFmtId="165" formatCode="m/d/yyyy"/>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164" formatCode="_(* #,##0.00_);_(* \(#,##0.00\);_(* &quot;-&quot;??_);_(@_)"/>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border>
        <bottom style="thin">
          <color rgb="FF000000"/>
        </bottom>
      </border>
    </dxf>
    <dxf>
      <alignment horizontal="center" vertical="center" textRotation="0" wrapText="1" indent="0" relativeIndent="255"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scheme val="none"/>
      </font>
      <fill>
        <patternFill patternType="none">
          <fgColor rgb="FF000000"/>
          <bgColor rgb="FFFFFFFF"/>
        </patternFill>
      </fill>
      <alignment horizontal="center" vertical="center" textRotation="0" wrapText="1" indent="0" relativeIndent="255" justifyLastLine="0" shrinkToFit="0" readingOrder="0"/>
      <protection locked="0" hidden="0"/>
    </dxf>
    <dxf>
      <border>
        <bottom style="thin">
          <color rgb="FF000000"/>
        </bottom>
      </border>
    </dxf>
    <dxf>
      <alignment horizontal="center" vertical="center" textRotation="0" wrapText="1" indent="0" relativeIndent="255"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protection locked="0" hidden="0"/>
    </dxf>
    <dxf>
      <border>
        <bottom style="thin">
          <color indexed="64"/>
        </bottom>
      </border>
    </dxf>
    <dxf>
      <alignment horizontal="center" vertical="center" textRotation="0" wrapText="1" indent="0" relativeIndent="255" justifyLastLine="0" shrinkToFit="0" readingOrder="0"/>
      <border diagonalUp="0" diagonalDown="0">
        <left style="thin">
          <color indexed="64"/>
        </left>
        <right style="thin">
          <color indexed="64"/>
        </right>
        <top/>
        <bottom/>
      </border>
      <protection locked="0"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auto="1"/>
        <name val="Calibri"/>
        <scheme val="minor"/>
      </font>
      <numFmt numFmtId="165" formatCode="m/d/yyyy"/>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164" formatCode="_(* #,##0.00_);_(* \(#,##0.00\);_(* &quot;-&quot;??_);_(@_)"/>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center" textRotation="0" wrapText="1" indent="0" relativeIndent="255"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165" formatCode="m/d/yyyy"/>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164" formatCode="_(* #,##0.00_);_(* \(#,##0.00\);_(* &quot;-&quot;??_);_(@_)"/>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border>
        <bottom style="thin">
          <color rgb="FF000000"/>
        </bottom>
      </border>
    </dxf>
    <dxf>
      <alignment horizontal="center" vertical="center" textRotation="0" wrapText="1" indent="0" relativeIndent="255"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scheme val="none"/>
      </font>
      <fill>
        <patternFill patternType="none">
          <fgColor rgb="FF000000"/>
          <bgColor rgb="FFFFFFFF"/>
        </patternFill>
      </fill>
      <alignment horizontal="center" vertical="center" textRotation="0" wrapText="1" indent="0" relativeIndent="255" justifyLastLine="0" shrinkToFit="0" readingOrder="0"/>
      <protection locked="0" hidden="0"/>
    </dxf>
    <dxf>
      <border>
        <bottom style="thin">
          <color rgb="FF000000"/>
        </bottom>
      </border>
    </dxf>
    <dxf>
      <alignment horizontal="center" vertical="center" textRotation="0" wrapText="1" indent="0" relativeIndent="255" justifyLastLine="0" shrinkToFit="0" readingOrder="0"/>
      <border diagonalUp="0" diagonalDown="0">
        <left style="thin">
          <color indexed="64"/>
        </left>
        <right style="thin">
          <color indexed="64"/>
        </right>
        <top/>
        <bottom/>
      </border>
      <protection locked="0"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scheme val="none"/>
      </font>
      <fill>
        <patternFill patternType="none">
          <fgColor rgb="FF000000"/>
          <bgColor rgb="FFFFFFFF"/>
        </patternFill>
      </fill>
      <alignment horizontal="center" vertical="center" textRotation="0" wrapText="1" indent="0" relativeIndent="255" justifyLastLine="0" shrinkToFit="0" readingOrder="0"/>
      <protection locked="0" hidden="0"/>
    </dxf>
    <dxf>
      <border>
        <bottom style="thin">
          <color rgb="FF000000"/>
        </bottom>
      </border>
    </dxf>
    <dxf>
      <alignment horizontal="center" vertical="center" textRotation="0" wrapText="1" indent="0" relativeIndent="255"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3086101</xdr:colOff>
      <xdr:row>8</xdr:row>
      <xdr:rowOff>28575</xdr:rowOff>
    </xdr:from>
    <xdr:to>
      <xdr:col>6</xdr:col>
      <xdr:colOff>3848101</xdr:colOff>
      <xdr:row>8</xdr:row>
      <xdr:rowOff>371475</xdr:rowOff>
    </xdr:to>
    <xdr:pic>
      <xdr:nvPicPr>
        <xdr:cNvPr id="2" name="Picture 1" descr="WSIB logo">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cstate="print"/>
        <a:stretch>
          <a:fillRect/>
        </a:stretch>
      </xdr:blipFill>
      <xdr:spPr>
        <a:xfrm>
          <a:off x="10591801" y="1704975"/>
          <a:ext cx="762000" cy="342900"/>
        </a:xfrm>
        <a:prstGeom prst="rect">
          <a:avLst/>
        </a:prstGeom>
      </xdr:spPr>
    </xdr:pic>
    <xdr:clientData/>
  </xdr:twoCellAnchor>
  <xdr:twoCellAnchor editAs="oneCell">
    <xdr:from>
      <xdr:col>1</xdr:col>
      <xdr:colOff>0</xdr:colOff>
      <xdr:row>27</xdr:row>
      <xdr:rowOff>0</xdr:rowOff>
    </xdr:from>
    <xdr:to>
      <xdr:col>6</xdr:col>
      <xdr:colOff>2409825</xdr:colOff>
      <xdr:row>31</xdr:row>
      <xdr:rowOff>0</xdr:rowOff>
    </xdr:to>
    <xdr:pic>
      <xdr:nvPicPr>
        <xdr:cNvPr id="3" name="Picture 2" descr="Brandon Hall Excellence Award, 2012 logo.&#10;&#10;Canadian Awards for Training Excellence, Winner 2012 logo.&#10;&#10;Access Walk of Fame, Winner 2012 logo.&#10;">
          <a:extLst>
            <a:ext uri="{FF2B5EF4-FFF2-40B4-BE49-F238E27FC236}">
              <a16:creationId xmlns:a16="http://schemas.microsoft.com/office/drawing/2014/main" xmlns="" id="{00000000-0008-0000-0100-000003000000}"/>
            </a:ext>
          </a:extLst>
        </xdr:cNvPr>
        <xdr:cNvPicPr/>
      </xdr:nvPicPr>
      <xdr:blipFill>
        <a:blip xmlns:r="http://schemas.openxmlformats.org/officeDocument/2006/relationships" r:embed="rId2" cstate="print"/>
        <a:stretch>
          <a:fillRect/>
        </a:stretch>
      </xdr:blipFill>
      <xdr:spPr>
        <a:xfrm>
          <a:off x="247650" y="4657725"/>
          <a:ext cx="96964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438172</xdr:colOff>
      <xdr:row>3</xdr:row>
      <xdr:rowOff>152448</xdr:rowOff>
    </xdr:from>
    <xdr:to>
      <xdr:col>10</xdr:col>
      <xdr:colOff>223767</xdr:colOff>
      <xdr:row>9</xdr:row>
      <xdr:rowOff>166595</xdr:rowOff>
    </xdr:to>
    <xdr:pic>
      <xdr:nvPicPr>
        <xdr:cNvPr id="2" name="Picture 1">
          <a:extLst>
            <a:ext uri="{FF2B5EF4-FFF2-40B4-BE49-F238E27FC236}">
              <a16:creationId xmlns:a16="http://schemas.microsoft.com/office/drawing/2014/main" xmlns="" id="{00000000-0008-0000-0200-000002000000}"/>
            </a:ext>
          </a:extLst>
        </xdr:cNvPr>
        <xdr:cNvPicPr>
          <a:picLocks noChangeAspect="1" noChangeArrowheads="1"/>
        </xdr:cNvPicPr>
      </xdr:nvPicPr>
      <xdr:blipFill>
        <a:blip xmlns:r="http://schemas.openxmlformats.org/officeDocument/2006/relationships" r:embed="rId1" cstate="print"/>
        <a:srcRect t="9376" r="51756" b="78760"/>
        <a:stretch>
          <a:fillRect/>
        </a:stretch>
      </xdr:blipFill>
      <xdr:spPr bwMode="auto">
        <a:xfrm>
          <a:off x="438172" y="800148"/>
          <a:ext cx="5881595" cy="1157147"/>
        </a:xfrm>
        <a:prstGeom prst="rect">
          <a:avLst/>
        </a:prstGeom>
        <a:noFill/>
        <a:ln w="1">
          <a:noFill/>
          <a:miter lim="800000"/>
          <a:headEnd/>
          <a:tailEnd type="none" w="med" len="med"/>
        </a:ln>
        <a:effectLst/>
      </xdr:spPr>
    </xdr:pic>
    <xdr:clientData/>
  </xdr:twoCellAnchor>
  <xdr:twoCellAnchor editAs="oneCell">
    <xdr:from>
      <xdr:col>0</xdr:col>
      <xdr:colOff>606516</xdr:colOff>
      <xdr:row>14</xdr:row>
      <xdr:rowOff>175800</xdr:rowOff>
    </xdr:from>
    <xdr:to>
      <xdr:col>7</xdr:col>
      <xdr:colOff>117558</xdr:colOff>
      <xdr:row>27</xdr:row>
      <xdr:rowOff>45206</xdr:rowOff>
    </xdr:to>
    <xdr:pic>
      <xdr:nvPicPr>
        <xdr:cNvPr id="3" name="Picture 2">
          <a:extLst>
            <a:ext uri="{FF2B5EF4-FFF2-40B4-BE49-F238E27FC236}">
              <a16:creationId xmlns:a16="http://schemas.microsoft.com/office/drawing/2014/main" xmlns="" id="{00000000-0008-0000-0200-000003000000}"/>
            </a:ext>
          </a:extLst>
        </xdr:cNvPr>
        <xdr:cNvPicPr>
          <a:picLocks noChangeAspect="1" noChangeArrowheads="1"/>
        </xdr:cNvPicPr>
      </xdr:nvPicPr>
      <xdr:blipFill>
        <a:blip xmlns:r="http://schemas.openxmlformats.org/officeDocument/2006/relationships" r:embed="rId2" cstate="print"/>
        <a:srcRect l="34504" t="36567" r="34504" b="39380"/>
        <a:stretch>
          <a:fillRect/>
        </a:stretch>
      </xdr:blipFill>
      <xdr:spPr bwMode="auto">
        <a:xfrm>
          <a:off x="606516" y="2966625"/>
          <a:ext cx="3778242" cy="2345906"/>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1466851</xdr:colOff>
      <xdr:row>8</xdr:row>
      <xdr:rowOff>38100</xdr:rowOff>
    </xdr:from>
    <xdr:to>
      <xdr:col>6</xdr:col>
      <xdr:colOff>2228851</xdr:colOff>
      <xdr:row>8</xdr:row>
      <xdr:rowOff>381000</xdr:rowOff>
    </xdr:to>
    <xdr:pic>
      <xdr:nvPicPr>
        <xdr:cNvPr id="2" name="Picture 1" descr="WSIB logo">
          <a:extLst>
            <a:ext uri="{FF2B5EF4-FFF2-40B4-BE49-F238E27FC236}">
              <a16:creationId xmlns:a16="http://schemas.microsoft.com/office/drawing/2014/main" xmlns="" id="{00000000-0008-0000-0600-000002000000}"/>
            </a:ext>
          </a:extLst>
        </xdr:cNvPr>
        <xdr:cNvPicPr/>
      </xdr:nvPicPr>
      <xdr:blipFill>
        <a:blip xmlns:r="http://schemas.openxmlformats.org/officeDocument/2006/relationships" r:embed="rId1" cstate="print"/>
        <a:stretch>
          <a:fillRect/>
        </a:stretch>
      </xdr:blipFill>
      <xdr:spPr>
        <a:xfrm>
          <a:off x="8972551" y="1714500"/>
          <a:ext cx="762000" cy="342900"/>
        </a:xfrm>
        <a:prstGeom prst="rect">
          <a:avLst/>
        </a:prstGeom>
      </xdr:spPr>
    </xdr:pic>
    <xdr:clientData/>
  </xdr:twoCellAnchor>
  <xdr:twoCellAnchor editAs="oneCell">
    <xdr:from>
      <xdr:col>1</xdr:col>
      <xdr:colOff>0</xdr:colOff>
      <xdr:row>26</xdr:row>
      <xdr:rowOff>0</xdr:rowOff>
    </xdr:from>
    <xdr:to>
      <xdr:col>6</xdr:col>
      <xdr:colOff>2438400</xdr:colOff>
      <xdr:row>30</xdr:row>
      <xdr:rowOff>0</xdr:rowOff>
    </xdr:to>
    <xdr:pic>
      <xdr:nvPicPr>
        <xdr:cNvPr id="3" name="Picture 2" descr="Brandon Hall Excellence Award, 2012 logo.&#10;&#10;Canadian Awards for Training Excellence, Winner 2012 logo.&#10;&#10;Access Walk of Fame, Winner 2012 logo.&#10;">
          <a:extLst>
            <a:ext uri="{FF2B5EF4-FFF2-40B4-BE49-F238E27FC236}">
              <a16:creationId xmlns:a16="http://schemas.microsoft.com/office/drawing/2014/main" xmlns="" id="{00000000-0008-0000-0600-000003000000}"/>
            </a:ext>
          </a:extLst>
        </xdr:cNvPr>
        <xdr:cNvPicPr/>
      </xdr:nvPicPr>
      <xdr:blipFill>
        <a:blip xmlns:r="http://schemas.openxmlformats.org/officeDocument/2006/relationships" r:embed="rId2" cstate="print"/>
        <a:stretch>
          <a:fillRect/>
        </a:stretch>
      </xdr:blipFill>
      <xdr:spPr>
        <a:xfrm>
          <a:off x="247650" y="5410200"/>
          <a:ext cx="96964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19049</xdr:colOff>
      <xdr:row>1</xdr:row>
      <xdr:rowOff>57151</xdr:rowOff>
    </xdr:from>
    <xdr:to>
      <xdr:col>5</xdr:col>
      <xdr:colOff>0</xdr:colOff>
      <xdr:row>6</xdr:row>
      <xdr:rowOff>0</xdr:rowOff>
    </xdr:to>
    <xdr:sp macro="" textlink="">
      <xdr:nvSpPr>
        <xdr:cNvPr id="2" name="Oval 1">
          <a:extLst>
            <a:ext uri="{FF2B5EF4-FFF2-40B4-BE49-F238E27FC236}">
              <a16:creationId xmlns:a16="http://schemas.microsoft.com/office/drawing/2014/main" xmlns="" id="{00000000-0008-0000-0900-000002000000}"/>
            </a:ext>
          </a:extLst>
        </xdr:cNvPr>
        <xdr:cNvSpPr/>
      </xdr:nvSpPr>
      <xdr:spPr>
        <a:xfrm>
          <a:off x="1238249" y="247651"/>
          <a:ext cx="1809751" cy="895349"/>
        </a:xfrm>
        <a:prstGeom prst="ellipse">
          <a:avLst/>
        </a:prstGeom>
        <a:solidFill>
          <a:schemeClr val="accent2">
            <a:lumMod val="20000"/>
            <a:lumOff val="80000"/>
          </a:schemeClr>
        </a:solidFill>
        <a:ln>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Fill out the "1) Job Template (Internal Use)" Word Doc.</a:t>
          </a:r>
        </a:p>
      </xdr:txBody>
    </xdr:sp>
    <xdr:clientData/>
  </xdr:twoCellAnchor>
  <xdr:twoCellAnchor>
    <xdr:from>
      <xdr:col>1</xdr:col>
      <xdr:colOff>609599</xdr:colOff>
      <xdr:row>8</xdr:row>
      <xdr:rowOff>0</xdr:rowOff>
    </xdr:from>
    <xdr:to>
      <xdr:col>5</xdr:col>
      <xdr:colOff>0</xdr:colOff>
      <xdr:row>11</xdr:row>
      <xdr:rowOff>95250</xdr:rowOff>
    </xdr:to>
    <xdr:sp macro="" textlink="">
      <xdr:nvSpPr>
        <xdr:cNvPr id="3" name="Rectangle 2">
          <a:extLst>
            <a:ext uri="{FF2B5EF4-FFF2-40B4-BE49-F238E27FC236}">
              <a16:creationId xmlns:a16="http://schemas.microsoft.com/office/drawing/2014/main" xmlns="" id="{00000000-0008-0000-0900-000003000000}"/>
            </a:ext>
          </a:extLst>
        </xdr:cNvPr>
        <xdr:cNvSpPr/>
      </xdr:nvSpPr>
      <xdr:spPr>
        <a:xfrm>
          <a:off x="1219199" y="1524000"/>
          <a:ext cx="1828801" cy="666750"/>
        </a:xfrm>
        <a:prstGeom prst="rect">
          <a:avLst/>
        </a:prstGeom>
        <a:solidFill>
          <a:schemeClr val="accent2">
            <a:lumMod val="20000"/>
            <a:lumOff val="80000"/>
          </a:schemeClr>
        </a:solidFill>
        <a:ln>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Create Vendor Version from "2) Job Template (Vendor Read Only)" Word Doc.</a:t>
          </a:r>
        </a:p>
      </xdr:txBody>
    </xdr:sp>
    <xdr:clientData/>
  </xdr:twoCellAnchor>
  <xdr:twoCellAnchor>
    <xdr:from>
      <xdr:col>1</xdr:col>
      <xdr:colOff>419100</xdr:colOff>
      <xdr:row>13</xdr:row>
      <xdr:rowOff>171449</xdr:rowOff>
    </xdr:from>
    <xdr:to>
      <xdr:col>5</xdr:col>
      <xdr:colOff>190500</xdr:colOff>
      <xdr:row>19</xdr:row>
      <xdr:rowOff>19050</xdr:rowOff>
    </xdr:to>
    <xdr:sp macro="" textlink="">
      <xdr:nvSpPr>
        <xdr:cNvPr id="4" name="Rectangle 3">
          <a:extLst>
            <a:ext uri="{FF2B5EF4-FFF2-40B4-BE49-F238E27FC236}">
              <a16:creationId xmlns:a16="http://schemas.microsoft.com/office/drawing/2014/main" xmlns="" id="{00000000-0008-0000-0900-000004000000}"/>
            </a:ext>
          </a:extLst>
        </xdr:cNvPr>
        <xdr:cNvSpPr/>
      </xdr:nvSpPr>
      <xdr:spPr>
        <a:xfrm>
          <a:off x="1028700" y="2647949"/>
          <a:ext cx="2209800" cy="990601"/>
        </a:xfrm>
        <a:prstGeom prst="rect">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Create</a:t>
          </a:r>
          <a:r>
            <a:rPr lang="en-US" sz="1100" baseline="0">
              <a:solidFill>
                <a:sysClr val="windowText" lastClr="000000"/>
              </a:solidFill>
            </a:rPr>
            <a:t> Skill Matrix using this Excel file "3) Skills Matrix template v1".  Recall the record with Job Number ID.  Fill out  "Skill Set Descriptions" and "Weight"</a:t>
          </a:r>
          <a:endParaRPr lang="en-US" sz="1100">
            <a:solidFill>
              <a:sysClr val="windowText" lastClr="000000"/>
            </a:solidFill>
          </a:endParaRPr>
        </a:p>
      </xdr:txBody>
    </xdr:sp>
    <xdr:clientData/>
  </xdr:twoCellAnchor>
  <xdr:twoCellAnchor>
    <xdr:from>
      <xdr:col>1</xdr:col>
      <xdr:colOff>495300</xdr:colOff>
      <xdr:row>21</xdr:row>
      <xdr:rowOff>38100</xdr:rowOff>
    </xdr:from>
    <xdr:to>
      <xdr:col>5</xdr:col>
      <xdr:colOff>123825</xdr:colOff>
      <xdr:row>24</xdr:row>
      <xdr:rowOff>0</xdr:rowOff>
    </xdr:to>
    <xdr:sp macro="" textlink="">
      <xdr:nvSpPr>
        <xdr:cNvPr id="5" name="Rectangle 4">
          <a:extLst>
            <a:ext uri="{FF2B5EF4-FFF2-40B4-BE49-F238E27FC236}">
              <a16:creationId xmlns:a16="http://schemas.microsoft.com/office/drawing/2014/main" xmlns="" id="{00000000-0008-0000-0900-000005000000}"/>
            </a:ext>
          </a:extLst>
        </xdr:cNvPr>
        <xdr:cNvSpPr/>
      </xdr:nvSpPr>
      <xdr:spPr>
        <a:xfrm>
          <a:off x="1104900" y="4038600"/>
          <a:ext cx="2066925" cy="533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Send</a:t>
          </a:r>
          <a:r>
            <a:rPr lang="en-US" sz="1100" baseline="0"/>
            <a:t>  the two files to Vendors.  Collect all files back</a:t>
          </a:r>
          <a:endParaRPr lang="en-US" sz="1100"/>
        </a:p>
      </xdr:txBody>
    </xdr:sp>
    <xdr:clientData/>
  </xdr:twoCellAnchor>
  <xdr:twoCellAnchor>
    <xdr:from>
      <xdr:col>1</xdr:col>
      <xdr:colOff>542925</xdr:colOff>
      <xdr:row>26</xdr:row>
      <xdr:rowOff>28575</xdr:rowOff>
    </xdr:from>
    <xdr:to>
      <xdr:col>5</xdr:col>
      <xdr:colOff>85724</xdr:colOff>
      <xdr:row>29</xdr:row>
      <xdr:rowOff>95250</xdr:rowOff>
    </xdr:to>
    <xdr:sp macro="" textlink="">
      <xdr:nvSpPr>
        <xdr:cNvPr id="6" name="Rectangle 5">
          <a:extLst>
            <a:ext uri="{FF2B5EF4-FFF2-40B4-BE49-F238E27FC236}">
              <a16:creationId xmlns:a16="http://schemas.microsoft.com/office/drawing/2014/main" xmlns="" id="{00000000-0008-0000-0900-000006000000}"/>
            </a:ext>
          </a:extLst>
        </xdr:cNvPr>
        <xdr:cNvSpPr/>
      </xdr:nvSpPr>
      <xdr:spPr>
        <a:xfrm>
          <a:off x="1152525" y="4981575"/>
          <a:ext cx="1981199" cy="638175"/>
        </a:xfrm>
        <a:prstGeom prst="rect">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Optional:  Unhide administrative contents by pressing Ctrl + Shift + U.  </a:t>
          </a:r>
        </a:p>
      </xdr:txBody>
    </xdr:sp>
    <xdr:clientData/>
  </xdr:twoCellAnchor>
  <xdr:twoCellAnchor>
    <xdr:from>
      <xdr:col>1</xdr:col>
      <xdr:colOff>438150</xdr:colOff>
      <xdr:row>42</xdr:row>
      <xdr:rowOff>180975</xdr:rowOff>
    </xdr:from>
    <xdr:to>
      <xdr:col>5</xdr:col>
      <xdr:colOff>209550</xdr:colOff>
      <xdr:row>48</xdr:row>
      <xdr:rowOff>47626</xdr:rowOff>
    </xdr:to>
    <xdr:sp macro="" textlink="">
      <xdr:nvSpPr>
        <xdr:cNvPr id="8" name="Diamond 7">
          <a:extLst>
            <a:ext uri="{FF2B5EF4-FFF2-40B4-BE49-F238E27FC236}">
              <a16:creationId xmlns:a16="http://schemas.microsoft.com/office/drawing/2014/main" xmlns="" id="{00000000-0008-0000-0900-000008000000}"/>
            </a:ext>
          </a:extLst>
        </xdr:cNvPr>
        <xdr:cNvSpPr/>
      </xdr:nvSpPr>
      <xdr:spPr>
        <a:xfrm>
          <a:off x="1047750" y="8181975"/>
          <a:ext cx="2209800" cy="1009651"/>
        </a:xfrm>
        <a:prstGeom prst="diamond">
          <a:avLst/>
        </a:prstGeom>
        <a:solidFill>
          <a:schemeClr val="accent2">
            <a:lumMod val="20000"/>
            <a:lumOff val="80000"/>
          </a:schemeClr>
        </a:solidFill>
        <a:ln>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More Round(s) needed ? </a:t>
          </a:r>
        </a:p>
      </xdr:txBody>
    </xdr:sp>
    <xdr:clientData/>
  </xdr:twoCellAnchor>
  <xdr:twoCellAnchor>
    <xdr:from>
      <xdr:col>5</xdr:col>
      <xdr:colOff>0</xdr:colOff>
      <xdr:row>3</xdr:row>
      <xdr:rowOff>123826</xdr:rowOff>
    </xdr:from>
    <xdr:to>
      <xdr:col>5</xdr:col>
      <xdr:colOff>209550</xdr:colOff>
      <xdr:row>45</xdr:row>
      <xdr:rowOff>114301</xdr:rowOff>
    </xdr:to>
    <xdr:cxnSp macro="">
      <xdr:nvCxnSpPr>
        <xdr:cNvPr id="11" name="Elbow Connector 10">
          <a:extLst>
            <a:ext uri="{FF2B5EF4-FFF2-40B4-BE49-F238E27FC236}">
              <a16:creationId xmlns:a16="http://schemas.microsoft.com/office/drawing/2014/main" xmlns="" id="{00000000-0008-0000-0900-00000B000000}"/>
            </a:ext>
          </a:extLst>
        </xdr:cNvPr>
        <xdr:cNvCxnSpPr>
          <a:stCxn id="8" idx="3"/>
          <a:endCxn id="2" idx="6"/>
        </xdr:cNvCxnSpPr>
      </xdr:nvCxnSpPr>
      <xdr:spPr>
        <a:xfrm flipH="1" flipV="1">
          <a:off x="3048000" y="695326"/>
          <a:ext cx="209550" cy="7991475"/>
        </a:xfrm>
        <a:prstGeom prst="bentConnector3">
          <a:avLst>
            <a:gd name="adj1" fmla="val -10909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304800</xdr:colOff>
      <xdr:row>6</xdr:row>
      <xdr:rowOff>0</xdr:rowOff>
    </xdr:from>
    <xdr:to>
      <xdr:col>3</xdr:col>
      <xdr:colOff>314325</xdr:colOff>
      <xdr:row>8</xdr:row>
      <xdr:rowOff>0</xdr:rowOff>
    </xdr:to>
    <xdr:cxnSp macro="">
      <xdr:nvCxnSpPr>
        <xdr:cNvPr id="15" name="Straight Arrow Connector 14">
          <a:extLst>
            <a:ext uri="{FF2B5EF4-FFF2-40B4-BE49-F238E27FC236}">
              <a16:creationId xmlns:a16="http://schemas.microsoft.com/office/drawing/2014/main" xmlns="" id="{00000000-0008-0000-0900-00000F000000}"/>
            </a:ext>
          </a:extLst>
        </xdr:cNvPr>
        <xdr:cNvCxnSpPr>
          <a:stCxn id="2" idx="4"/>
          <a:endCxn id="3" idx="0"/>
        </xdr:cNvCxnSpPr>
      </xdr:nvCxnSpPr>
      <xdr:spPr>
        <a:xfrm flipH="1">
          <a:off x="2133600" y="1143000"/>
          <a:ext cx="9525" cy="381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304800</xdr:colOff>
      <xdr:row>11</xdr:row>
      <xdr:rowOff>95250</xdr:rowOff>
    </xdr:from>
    <xdr:to>
      <xdr:col>3</xdr:col>
      <xdr:colOff>304800</xdr:colOff>
      <xdr:row>13</xdr:row>
      <xdr:rowOff>171449</xdr:rowOff>
    </xdr:to>
    <xdr:cxnSp macro="">
      <xdr:nvCxnSpPr>
        <xdr:cNvPr id="17" name="Straight Arrow Connector 16">
          <a:extLst>
            <a:ext uri="{FF2B5EF4-FFF2-40B4-BE49-F238E27FC236}">
              <a16:creationId xmlns:a16="http://schemas.microsoft.com/office/drawing/2014/main" xmlns="" id="{00000000-0008-0000-0900-000011000000}"/>
            </a:ext>
          </a:extLst>
        </xdr:cNvPr>
        <xdr:cNvCxnSpPr>
          <a:stCxn id="3" idx="2"/>
          <a:endCxn id="4" idx="0"/>
        </xdr:cNvCxnSpPr>
      </xdr:nvCxnSpPr>
      <xdr:spPr>
        <a:xfrm>
          <a:off x="2133600" y="2190750"/>
          <a:ext cx="0" cy="45719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304800</xdr:colOff>
      <xdr:row>19</xdr:row>
      <xdr:rowOff>19050</xdr:rowOff>
    </xdr:from>
    <xdr:to>
      <xdr:col>3</xdr:col>
      <xdr:colOff>309563</xdr:colOff>
      <xdr:row>21</xdr:row>
      <xdr:rowOff>38100</xdr:rowOff>
    </xdr:to>
    <xdr:cxnSp macro="">
      <xdr:nvCxnSpPr>
        <xdr:cNvPr id="19" name="Straight Arrow Connector 18">
          <a:extLst>
            <a:ext uri="{FF2B5EF4-FFF2-40B4-BE49-F238E27FC236}">
              <a16:creationId xmlns:a16="http://schemas.microsoft.com/office/drawing/2014/main" xmlns="" id="{00000000-0008-0000-0900-000013000000}"/>
            </a:ext>
          </a:extLst>
        </xdr:cNvPr>
        <xdr:cNvCxnSpPr>
          <a:stCxn id="4" idx="2"/>
          <a:endCxn id="5" idx="0"/>
        </xdr:cNvCxnSpPr>
      </xdr:nvCxnSpPr>
      <xdr:spPr>
        <a:xfrm>
          <a:off x="2133600" y="3638550"/>
          <a:ext cx="4763"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309563</xdr:colOff>
      <xdr:row>24</xdr:row>
      <xdr:rowOff>0</xdr:rowOff>
    </xdr:from>
    <xdr:to>
      <xdr:col>3</xdr:col>
      <xdr:colOff>314325</xdr:colOff>
      <xdr:row>26</xdr:row>
      <xdr:rowOff>28575</xdr:rowOff>
    </xdr:to>
    <xdr:cxnSp macro="">
      <xdr:nvCxnSpPr>
        <xdr:cNvPr id="23" name="Straight Arrow Connector 22">
          <a:extLst>
            <a:ext uri="{FF2B5EF4-FFF2-40B4-BE49-F238E27FC236}">
              <a16:creationId xmlns:a16="http://schemas.microsoft.com/office/drawing/2014/main" xmlns="" id="{00000000-0008-0000-0900-000017000000}"/>
            </a:ext>
          </a:extLst>
        </xdr:cNvPr>
        <xdr:cNvCxnSpPr>
          <a:stCxn id="5" idx="2"/>
          <a:endCxn id="6" idx="0"/>
        </xdr:cNvCxnSpPr>
      </xdr:nvCxnSpPr>
      <xdr:spPr>
        <a:xfrm>
          <a:off x="2138363" y="4572000"/>
          <a:ext cx="4762"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314325</xdr:colOff>
      <xdr:row>29</xdr:row>
      <xdr:rowOff>95250</xdr:rowOff>
    </xdr:from>
    <xdr:to>
      <xdr:col>3</xdr:col>
      <xdr:colOff>319088</xdr:colOff>
      <xdr:row>33</xdr:row>
      <xdr:rowOff>73820</xdr:rowOff>
    </xdr:to>
    <xdr:cxnSp macro="">
      <xdr:nvCxnSpPr>
        <xdr:cNvPr id="25" name="Straight Arrow Connector 24">
          <a:extLst>
            <a:ext uri="{FF2B5EF4-FFF2-40B4-BE49-F238E27FC236}">
              <a16:creationId xmlns:a16="http://schemas.microsoft.com/office/drawing/2014/main" xmlns="" id="{00000000-0008-0000-0900-000019000000}"/>
            </a:ext>
          </a:extLst>
        </xdr:cNvPr>
        <xdr:cNvCxnSpPr>
          <a:stCxn id="6" idx="2"/>
          <a:endCxn id="18" idx="0"/>
        </xdr:cNvCxnSpPr>
      </xdr:nvCxnSpPr>
      <xdr:spPr>
        <a:xfrm>
          <a:off x="2143125" y="5619750"/>
          <a:ext cx="4763" cy="74057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319088</xdr:colOff>
      <xdr:row>41</xdr:row>
      <xdr:rowOff>19050</xdr:rowOff>
    </xdr:from>
    <xdr:to>
      <xdr:col>3</xdr:col>
      <xdr:colOff>333375</xdr:colOff>
      <xdr:row>42</xdr:row>
      <xdr:rowOff>180975</xdr:rowOff>
    </xdr:to>
    <xdr:cxnSp macro="">
      <xdr:nvCxnSpPr>
        <xdr:cNvPr id="27" name="Straight Arrow Connector 26">
          <a:extLst>
            <a:ext uri="{FF2B5EF4-FFF2-40B4-BE49-F238E27FC236}">
              <a16:creationId xmlns:a16="http://schemas.microsoft.com/office/drawing/2014/main" xmlns="" id="{00000000-0008-0000-0900-00001B000000}"/>
            </a:ext>
          </a:extLst>
        </xdr:cNvPr>
        <xdr:cNvCxnSpPr/>
      </xdr:nvCxnSpPr>
      <xdr:spPr>
        <a:xfrm>
          <a:off x="2147888" y="7829550"/>
          <a:ext cx="14287" cy="3524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486904</xdr:colOff>
      <xdr:row>20</xdr:row>
      <xdr:rowOff>142874</xdr:rowOff>
    </xdr:from>
    <xdr:ext cx="342786" cy="476251"/>
    <xdr:sp macro="" textlink="">
      <xdr:nvSpPr>
        <xdr:cNvPr id="31" name="TextBox 30">
          <a:extLst>
            <a:ext uri="{FF2B5EF4-FFF2-40B4-BE49-F238E27FC236}">
              <a16:creationId xmlns:a16="http://schemas.microsoft.com/office/drawing/2014/main" xmlns="" id="{00000000-0008-0000-0900-00001F000000}"/>
            </a:ext>
          </a:extLst>
        </xdr:cNvPr>
        <xdr:cNvSpPr txBox="1"/>
      </xdr:nvSpPr>
      <xdr:spPr>
        <a:xfrm rot="16200000">
          <a:off x="3468171" y="4019607"/>
          <a:ext cx="47625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Yes</a:t>
          </a:r>
        </a:p>
      </xdr:txBody>
    </xdr:sp>
    <xdr:clientData/>
  </xdr:oneCellAnchor>
  <xdr:twoCellAnchor>
    <xdr:from>
      <xdr:col>2</xdr:col>
      <xdr:colOff>19050</xdr:colOff>
      <xdr:row>50</xdr:row>
      <xdr:rowOff>85725</xdr:rowOff>
    </xdr:from>
    <xdr:to>
      <xdr:col>5</xdr:col>
      <xdr:colOff>47625</xdr:colOff>
      <xdr:row>54</xdr:row>
      <xdr:rowOff>104775</xdr:rowOff>
    </xdr:to>
    <xdr:sp macro="" textlink="">
      <xdr:nvSpPr>
        <xdr:cNvPr id="33" name="Rectangle 32">
          <a:extLst>
            <a:ext uri="{FF2B5EF4-FFF2-40B4-BE49-F238E27FC236}">
              <a16:creationId xmlns:a16="http://schemas.microsoft.com/office/drawing/2014/main" xmlns="" id="{00000000-0008-0000-0900-000021000000}"/>
            </a:ext>
          </a:extLst>
        </xdr:cNvPr>
        <xdr:cNvSpPr/>
      </xdr:nvSpPr>
      <xdr:spPr>
        <a:xfrm>
          <a:off x="1238250" y="9610725"/>
          <a:ext cx="1857375" cy="781050"/>
        </a:xfrm>
        <a:prstGeom prst="rect">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Unhide administrative contents by pressing Ctrl + Shift + U.    Add other information as needed</a:t>
          </a:r>
        </a:p>
      </xdr:txBody>
    </xdr:sp>
    <xdr:clientData/>
  </xdr:twoCellAnchor>
  <xdr:twoCellAnchor>
    <xdr:from>
      <xdr:col>3</xdr:col>
      <xdr:colOff>323850</xdr:colOff>
      <xdr:row>48</xdr:row>
      <xdr:rowOff>47626</xdr:rowOff>
    </xdr:from>
    <xdr:to>
      <xdr:col>3</xdr:col>
      <xdr:colOff>338138</xdr:colOff>
      <xdr:row>50</xdr:row>
      <xdr:rowOff>85725</xdr:rowOff>
    </xdr:to>
    <xdr:cxnSp macro="">
      <xdr:nvCxnSpPr>
        <xdr:cNvPr id="36" name="Straight Arrow Connector 35">
          <a:extLst>
            <a:ext uri="{FF2B5EF4-FFF2-40B4-BE49-F238E27FC236}">
              <a16:creationId xmlns:a16="http://schemas.microsoft.com/office/drawing/2014/main" xmlns="" id="{00000000-0008-0000-0900-000024000000}"/>
            </a:ext>
          </a:extLst>
        </xdr:cNvPr>
        <xdr:cNvCxnSpPr>
          <a:stCxn id="8" idx="2"/>
          <a:endCxn id="33" idx="0"/>
        </xdr:cNvCxnSpPr>
      </xdr:nvCxnSpPr>
      <xdr:spPr>
        <a:xfrm>
          <a:off x="2152650" y="9191626"/>
          <a:ext cx="14288" cy="41909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314267</xdr:colOff>
      <xdr:row>48</xdr:row>
      <xdr:rowOff>57208</xdr:rowOff>
    </xdr:from>
    <xdr:ext cx="476251" cy="342786"/>
    <xdr:sp macro="" textlink="">
      <xdr:nvSpPr>
        <xdr:cNvPr id="44" name="TextBox 43">
          <a:extLst>
            <a:ext uri="{FF2B5EF4-FFF2-40B4-BE49-F238E27FC236}">
              <a16:creationId xmlns:a16="http://schemas.microsoft.com/office/drawing/2014/main" xmlns="" id="{00000000-0008-0000-0900-00002C000000}"/>
            </a:ext>
          </a:extLst>
        </xdr:cNvPr>
        <xdr:cNvSpPr txBox="1"/>
      </xdr:nvSpPr>
      <xdr:spPr>
        <a:xfrm>
          <a:off x="2143067" y="9201208"/>
          <a:ext cx="47625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No</a:t>
          </a:r>
        </a:p>
      </xdr:txBody>
    </xdr:sp>
    <xdr:clientData/>
  </xdr:oneCellAnchor>
  <xdr:twoCellAnchor>
    <xdr:from>
      <xdr:col>2</xdr:col>
      <xdr:colOff>342900</xdr:colOff>
      <xdr:row>31</xdr:row>
      <xdr:rowOff>161926</xdr:rowOff>
    </xdr:from>
    <xdr:to>
      <xdr:col>4</xdr:col>
      <xdr:colOff>295275</xdr:colOff>
      <xdr:row>41</xdr:row>
      <xdr:rowOff>19050</xdr:rowOff>
    </xdr:to>
    <xdr:sp macro="" textlink="">
      <xdr:nvSpPr>
        <xdr:cNvPr id="18" name="Can 17">
          <a:extLst>
            <a:ext uri="{FF2B5EF4-FFF2-40B4-BE49-F238E27FC236}">
              <a16:creationId xmlns:a16="http://schemas.microsoft.com/office/drawing/2014/main" xmlns="" id="{00000000-0008-0000-0900-000012000000}"/>
            </a:ext>
          </a:extLst>
        </xdr:cNvPr>
        <xdr:cNvSpPr/>
      </xdr:nvSpPr>
      <xdr:spPr>
        <a:xfrm>
          <a:off x="1562100" y="6067426"/>
          <a:ext cx="1171575" cy="1762124"/>
        </a:xfrm>
        <a:prstGeom prst="can">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Add</a:t>
          </a:r>
          <a:r>
            <a:rPr lang="en-US" sz="1100" baseline="0">
              <a:solidFill>
                <a:sysClr val="windowText" lastClr="000000"/>
              </a:solidFill>
              <a:latin typeface="+mn-lt"/>
              <a:ea typeface="+mn-ea"/>
              <a:cs typeface="+mn-cs"/>
            </a:rPr>
            <a:t> records to the DB by pressing Ctrl + Shift + A.  Do this for all Vendor files for all Candidates.</a:t>
          </a:r>
          <a:endParaRPr lang="en-US" sz="1100">
            <a:solidFill>
              <a:sysClr val="windowText" lastClr="000000"/>
            </a:solidFill>
            <a:latin typeface="+mn-lt"/>
            <a:ea typeface="+mn-ea"/>
            <a:cs typeface="+mn-cs"/>
          </a:endParaRPr>
        </a:p>
      </xdr:txBody>
    </xdr:sp>
    <xdr:clientData/>
  </xdr:twoCellAnchor>
  <xdr:twoCellAnchor>
    <xdr:from>
      <xdr:col>5</xdr:col>
      <xdr:colOff>523875</xdr:colOff>
      <xdr:row>32</xdr:row>
      <xdr:rowOff>9524</xdr:rowOff>
    </xdr:from>
    <xdr:to>
      <xdr:col>6</xdr:col>
      <xdr:colOff>419100</xdr:colOff>
      <xdr:row>54</xdr:row>
      <xdr:rowOff>114299</xdr:rowOff>
    </xdr:to>
    <xdr:sp macro="" textlink="">
      <xdr:nvSpPr>
        <xdr:cNvPr id="28" name="Right Arrow Callout 27">
          <a:extLst>
            <a:ext uri="{FF2B5EF4-FFF2-40B4-BE49-F238E27FC236}">
              <a16:creationId xmlns:a16="http://schemas.microsoft.com/office/drawing/2014/main" xmlns="" id="{00000000-0008-0000-0900-00001C000000}"/>
            </a:ext>
          </a:extLst>
        </xdr:cNvPr>
        <xdr:cNvSpPr/>
      </xdr:nvSpPr>
      <xdr:spPr>
        <a:xfrm>
          <a:off x="3571875" y="6105524"/>
          <a:ext cx="504825" cy="4295775"/>
        </a:xfrm>
        <a:prstGeom prst="rightArrowCallout">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ysClr val="windowText" lastClr="000000"/>
            </a:solidFill>
            <a:latin typeface="+mn-lt"/>
            <a:ea typeface="+mn-ea"/>
            <a:cs typeface="+mn-cs"/>
          </a:endParaRPr>
        </a:p>
      </xdr:txBody>
    </xdr:sp>
    <xdr:clientData/>
  </xdr:twoCellAnchor>
  <xdr:twoCellAnchor>
    <xdr:from>
      <xdr:col>6</xdr:col>
      <xdr:colOff>514349</xdr:colOff>
      <xdr:row>40</xdr:row>
      <xdr:rowOff>85726</xdr:rowOff>
    </xdr:from>
    <xdr:to>
      <xdr:col>10</xdr:col>
      <xdr:colOff>409574</xdr:colOff>
      <xdr:row>46</xdr:row>
      <xdr:rowOff>9525</xdr:rowOff>
    </xdr:to>
    <xdr:sp macro="[0]!CreateTracking" textlink="">
      <xdr:nvSpPr>
        <xdr:cNvPr id="30" name="Cloud 29">
          <a:extLst>
            <a:ext uri="{FF2B5EF4-FFF2-40B4-BE49-F238E27FC236}">
              <a16:creationId xmlns:a16="http://schemas.microsoft.com/office/drawing/2014/main" xmlns="" id="{00000000-0008-0000-0900-00001E000000}"/>
            </a:ext>
          </a:extLst>
        </xdr:cNvPr>
        <xdr:cNvSpPr/>
      </xdr:nvSpPr>
      <xdr:spPr>
        <a:xfrm>
          <a:off x="4171949" y="7705726"/>
          <a:ext cx="2333625" cy="1066799"/>
        </a:xfrm>
        <a:prstGeom prst="cloud">
          <a:avLst/>
        </a:prstGeom>
        <a:solidFill>
          <a:schemeClr val="accent3">
            <a:lumMod val="40000"/>
            <a:lumOff val="60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As</a:t>
          </a:r>
          <a:r>
            <a:rPr lang="en-US" sz="1100" baseline="0">
              <a:solidFill>
                <a:sysClr val="windowText" lastClr="000000"/>
              </a:solidFill>
              <a:latin typeface="+mn-lt"/>
              <a:ea typeface="+mn-ea"/>
              <a:cs typeface="+mn-cs"/>
            </a:rPr>
            <a:t> needed, produce Summary report by pressing Ctrl + Bhift + B</a:t>
          </a:r>
          <a:endParaRPr lang="en-US" sz="1100">
            <a:solidFill>
              <a:sysClr val="windowText" lastClr="000000"/>
            </a:solidFill>
            <a:latin typeface="+mn-lt"/>
            <a:ea typeface="+mn-ea"/>
            <a:cs typeface="+mn-cs"/>
          </a:endParaRPr>
        </a:p>
      </xdr:txBody>
    </xdr:sp>
    <xdr:clientData/>
  </xdr:twoCellAnchor>
</xdr:wsDr>
</file>

<file path=xl/tables/table1.xml><?xml version="1.0" encoding="utf-8"?>
<table xmlns="http://schemas.openxmlformats.org/spreadsheetml/2006/main" id="5" name="Table196" displayName="Table196" ref="B5:H6" insertRow="1" totalsRowShown="0" headerRowDxfId="134" dataDxfId="132" headerRowBorderDxfId="133" tableBorderDxfId="131" totalsRowBorderDxfId="130" headerRowCellStyle="Accent1" dataCellStyle="Normal_Summary_Template">
  <tableColumns count="7">
    <tableColumn id="1" name="VendorName" dataDxfId="129" dataCellStyle="Normal_Summary_Template"/>
    <tableColumn id="2" name="Stream" dataDxfId="128" dataCellStyle="Normal_Summary_Template"/>
    <tableColumn id="3" name="Total_RFSs" dataDxfId="127" dataCellStyle="Normal_Summary_Template"/>
    <tableColumn id="4" name="# of Candidates" dataDxfId="126" dataCellStyle="Normal_Summary_Template"/>
    <tableColumn id="5" name="# of Candidates per RFS" dataDxfId="125" dataCellStyle="Normal_Summary_Template"/>
    <tableColumn id="6" name="Interviews" dataDxfId="124" dataCellStyle="Normal_Summary_Template"/>
    <tableColumn id="7" name="Hires" dataDxfId="123" dataCellStyle="Normal_Summary_Template"/>
  </tableColumns>
  <tableStyleInfo name="TableStyleLight9" showFirstColumn="0" showLastColumn="0" showRowStripes="1" showColumnStripes="0"/>
</table>
</file>

<file path=xl/tables/table2.xml><?xml version="1.0" encoding="utf-8"?>
<table xmlns="http://schemas.openxmlformats.org/spreadsheetml/2006/main" id="2" name="Table1923" displayName="Table1923" ref="B11:H23" totalsRowCount="1" headerRowDxfId="116" dataDxfId="114" headerRowBorderDxfId="115" tableBorderDxfId="113" totalsRowBorderDxfId="112" headerRowCellStyle="Accent1" dataCellStyle="Normal_Summary_Template">
  <tableColumns count="7">
    <tableColumn id="1" name="VendorName" dataDxfId="111" totalsRowDxfId="110" dataCellStyle="Normal_Summary_Template"/>
    <tableColumn id="2" name="Stream" dataDxfId="109" totalsRowDxfId="108" dataCellStyle="Normal_Summary_Template"/>
    <tableColumn id="3" name="Total_RFSs" dataDxfId="107" totalsRowDxfId="106" dataCellStyle="Normal_Summary_Template"/>
    <tableColumn id="4" name="# of Candidates" dataDxfId="105" totalsRowDxfId="104" dataCellStyle="Normal_Summary_Template"/>
    <tableColumn id="5" name="# of Candidates per RFS" totalsRowFunction="custom" dataDxfId="103" totalsRowDxfId="102" dataCellStyle="Normal_Summary_Template">
      <totalsRowFormula>SUM(['# of Candidates per RFS])</totalsRowFormula>
    </tableColumn>
    <tableColumn id="6" name="Interviews" dataDxfId="101" totalsRowDxfId="100" dataCellStyle="Normal_Summary_Template"/>
    <tableColumn id="7" name="Hires" dataDxfId="99" totalsRowDxfId="98" dataCellStyle="Normal_Summary_Template"/>
  </tableColumns>
  <tableStyleInfo name="TableStyleLight9" showFirstColumn="0" showLastColumn="0" showRowStripes="1" showColumnStripes="0"/>
</table>
</file>

<file path=xl/tables/table3.xml><?xml version="1.0" encoding="utf-8"?>
<table xmlns="http://schemas.openxmlformats.org/spreadsheetml/2006/main" id="4" name="Table1345" displayName="Table1345" ref="B28:T59" totalsRowShown="0" headerRowDxfId="97" headerRowBorderDxfId="96" tableBorderDxfId="95" totalsRowBorderDxfId="94">
  <sortState ref="B29:T59">
    <sortCondition descending="1" ref="H29:H59"/>
  </sortState>
  <tableColumns count="19">
    <tableColumn id="1" name="RequisitionNo" dataDxfId="93" dataCellStyle="Calculation"/>
    <tableColumn id="2" name="VendorName" dataDxfId="92" dataCellStyle="Input"/>
    <tableColumn id="3" name="RoundNumber" dataDxfId="91" dataCellStyle="Calculation"/>
    <tableColumn id="4" name="FullName" dataDxfId="90" dataCellStyle="Calculation"/>
    <tableColumn id="5" name="RoleTitle" dataDxfId="89" dataCellStyle="Calculation"/>
    <tableColumn id="6" name="Stream" dataDxfId="88"/>
    <tableColumn id="7" name="OverallScore" dataDxfId="87" dataCellStyle="Calculation"/>
    <tableColumn id="8" name="Skill1" dataDxfId="86"/>
    <tableColumn id="9" name="Skill2" dataDxfId="85"/>
    <tableColumn id="10" name="Skill3" dataDxfId="84"/>
    <tableColumn id="11" name="Skill4" dataDxfId="83"/>
    <tableColumn id="12" name="Skill5" dataDxfId="82"/>
    <tableColumn id="19" name="Skill6" dataDxfId="81"/>
    <tableColumn id="13" name="Skill7" dataDxfId="80"/>
    <tableColumn id="14" name="AverageSkill" dataDxfId="79" dataCellStyle="Comma"/>
    <tableColumn id="15" name="ShortList" dataDxfId="78" dataCellStyle="Input"/>
    <tableColumn id="16" name="Interview" dataDxfId="77" dataCellStyle="Input"/>
    <tableColumn id="17" name="Hired" dataDxfId="76" dataCellStyle="Input"/>
    <tableColumn id="18" name="ReportDate" dataDxfId="75" dataCellStyle="Input"/>
  </tableColumns>
  <tableStyleInfo name="TableStyleLight9" showFirstColumn="0" showLastColumn="0" showRowStripes="1" showColumnStripes="0"/>
</table>
</file>

<file path=xl/tables/table4.xml><?xml version="1.0" encoding="utf-8"?>
<table xmlns="http://schemas.openxmlformats.org/spreadsheetml/2006/main" id="13" name="Table13" displayName="Table13" ref="B5:T6" insertRow="1" totalsRowShown="0" headerRowDxfId="74" headerRowBorderDxfId="73" tableBorderDxfId="72" totalsRowBorderDxfId="71">
  <tableColumns count="19">
    <tableColumn id="1" name="RequisitionNo" dataDxfId="70" dataCellStyle="Calculation"/>
    <tableColumn id="2" name="Vendor Name" dataDxfId="69" dataCellStyle="Input"/>
    <tableColumn id="3" name="Round Number" dataDxfId="68" dataCellStyle="Calculation"/>
    <tableColumn id="4" name="Full Name" dataDxfId="67" dataCellStyle="Calculation"/>
    <tableColumn id="5" name="Role Title" dataDxfId="66" dataCellStyle="Calculation"/>
    <tableColumn id="6" name="Stream" dataDxfId="65"/>
    <tableColumn id="7" name="Overall Score" dataDxfId="64" dataCellStyle="Calculation"/>
    <tableColumn id="8" name="Skill1" dataDxfId="63"/>
    <tableColumn id="9" name="Skill2" dataDxfId="62"/>
    <tableColumn id="10" name="Skill3" dataDxfId="61"/>
    <tableColumn id="11" name="Skill4" dataDxfId="60"/>
    <tableColumn id="12" name="Skill5" dataDxfId="59"/>
    <tableColumn id="19" name="Skill6" dataDxfId="58"/>
    <tableColumn id="13" name="Skill7" dataDxfId="57"/>
    <tableColumn id="14" name="Average Skill" dataDxfId="56" dataCellStyle="Comma"/>
    <tableColumn id="15" name="Short List" dataDxfId="55" dataCellStyle="Input"/>
    <tableColumn id="16" name="Interview" dataDxfId="54" dataCellStyle="Input"/>
    <tableColumn id="17" name="Hired" dataDxfId="53" dataCellStyle="Input"/>
    <tableColumn id="18" name="Report Date" dataDxfId="52" dataCellStyle="Input"/>
  </tableColumns>
  <tableStyleInfo name="TableStyleLight9" showFirstColumn="0" showLastColumn="0" showRowStripes="1" showColumnStripes="0"/>
</table>
</file>

<file path=xl/tables/table5.xml><?xml version="1.0" encoding="utf-8"?>
<table xmlns="http://schemas.openxmlformats.org/spreadsheetml/2006/main" id="19" name="Table19" displayName="Table19" ref="B5:H6" insertRow="1" totalsRowShown="0" headerRowDxfId="45" dataDxfId="43" headerRowBorderDxfId="44" tableBorderDxfId="42" totalsRowBorderDxfId="41" headerRowCellStyle="Accent1" dataCellStyle="Normal_Summary_Template">
  <tableColumns count="7">
    <tableColumn id="1" name="VendorName" dataDxfId="40" dataCellStyle="Normal_Summary_Template"/>
    <tableColumn id="2" name="Stream" dataDxfId="39" dataCellStyle="Normal_Summary_Template"/>
    <tableColumn id="3" name="Total_RFSs" dataDxfId="38" dataCellStyle="Normal_Summary_Template"/>
    <tableColumn id="4" name="# of Candidates" dataDxfId="37" dataCellStyle="Normal_Summary_Template"/>
    <tableColumn id="5" name="# of Candidates per RFS" dataDxfId="36" dataCellStyle="Normal_Summary_Template"/>
    <tableColumn id="6" name="Interviews" dataDxfId="35" dataCellStyle="Normal_Summary_Template"/>
    <tableColumn id="7" name="Hires" dataDxfId="34" dataCellStyle="Normal_Summary_Template"/>
  </tableColumns>
  <tableStyleInfo name="TableStyleLight9" showFirstColumn="0" showLastColumn="0" showRowStripes="1" showColumnStripes="0"/>
</table>
</file>

<file path=xl/tables/table6.xml><?xml version="1.0" encoding="utf-8"?>
<table xmlns="http://schemas.openxmlformats.org/spreadsheetml/2006/main" id="21" name="Table19151822" displayName="Table19151822" ref="B11:H12" insertRow="1" totalsRowShown="0" headerRowDxfId="33" dataDxfId="31" headerRowBorderDxfId="32" tableBorderDxfId="30" totalsRowBorderDxfId="29" headerRowCellStyle="Accent1" dataCellStyle="Normal_Summary_Template">
  <tableColumns count="7">
    <tableColumn id="1" name="VendorName" dataDxfId="28" dataCellStyle="Normal_Summary_Template"/>
    <tableColumn id="2" name="Stream" dataDxfId="27" dataCellStyle="Normal_Summary_Template"/>
    <tableColumn id="3" name="Total_RFSs" dataDxfId="26" dataCellStyle="Normal_Summary_Template"/>
    <tableColumn id="4" name="# of Candidates" dataDxfId="25" dataCellStyle="Normal_Summary_Template"/>
    <tableColumn id="5" name="# of Candidates per RFS" dataDxfId="24" dataCellStyle="Normal_Summary_Template"/>
    <tableColumn id="6" name="Interviews" dataDxfId="23" dataCellStyle="Normal_Summary_Template"/>
    <tableColumn id="7" name="Hires" dataDxfId="22" dataCellStyle="Normal_Summary_Template"/>
  </tableColumns>
  <tableStyleInfo name="TableStyleLight9" showFirstColumn="0" showLastColumn="0" showRowStripes="1" showColumnStripes="0"/>
</table>
</file>

<file path=xl/tables/table7.xml><?xml version="1.0" encoding="utf-8"?>
<table xmlns="http://schemas.openxmlformats.org/spreadsheetml/2006/main" id="22" name="Table13192123" displayName="Table13192123" ref="B18:S19" insertRow="1" totalsRowShown="0" headerRowDxfId="21" headerRowBorderDxfId="20" tableBorderDxfId="19" totalsRowBorderDxfId="18">
  <tableColumns count="18">
    <tableColumn id="1" name="RequisitionNo" dataDxfId="17" dataCellStyle="Calculation"/>
    <tableColumn id="2" name="VendorName" dataDxfId="16" dataCellStyle="Input"/>
    <tableColumn id="3" name="RoundNumber" dataDxfId="15" dataCellStyle="Calculation"/>
    <tableColumn id="4" name="FullName" dataDxfId="14" dataCellStyle="Calculation"/>
    <tableColumn id="5" name="RoleTitle" dataDxfId="13" dataCellStyle="Calculation"/>
    <tableColumn id="6" name="Stream" dataDxfId="12"/>
    <tableColumn id="7" name="OverallScore" dataDxfId="11" dataCellStyle="Calculation"/>
    <tableColumn id="8" name="Skill1" dataDxfId="10"/>
    <tableColumn id="9" name="Skill2" dataDxfId="9"/>
    <tableColumn id="10" name="Skill3" dataDxfId="8"/>
    <tableColumn id="11" name="Skill4" dataDxfId="7"/>
    <tableColumn id="12" name="Skill5" dataDxfId="6"/>
    <tableColumn id="13" name="Skill6" dataDxfId="5"/>
    <tableColumn id="14" name="AverageSkill" dataDxfId="4" dataCellStyle="Comma"/>
    <tableColumn id="15" name="ShortList" dataDxfId="3" dataCellStyle="Input"/>
    <tableColumn id="16" name="Interview" dataDxfId="2" dataCellStyle="Input"/>
    <tableColumn id="17" name="Hired" dataDxfId="1" dataCellStyle="Input"/>
    <tableColumn id="18" name="ReportDate" dataDxfId="0" dataCellStyle="Input"/>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9">
    <pageSetUpPr fitToPage="1"/>
  </sheetPr>
  <dimension ref="B2:S6"/>
  <sheetViews>
    <sheetView workbookViewId="0"/>
  </sheetViews>
  <sheetFormatPr defaultColWidth="9.1796875" defaultRowHeight="14.5"/>
  <cols>
    <col min="1" max="1" width="3.7265625" style="25" customWidth="1"/>
    <col min="2" max="2" width="27.26953125" style="25" customWidth="1"/>
    <col min="3" max="3" width="25.26953125" style="25" bestFit="1" customWidth="1"/>
    <col min="4" max="4" width="8.54296875" style="25" customWidth="1"/>
    <col min="5" max="5" width="23.26953125" style="25" customWidth="1"/>
    <col min="6" max="6" width="19.7265625" style="25" customWidth="1"/>
    <col min="7" max="7" width="26.1796875" style="25" customWidth="1"/>
    <col min="8" max="8" width="7.453125" style="25" bestFit="1" customWidth="1"/>
    <col min="9" max="14" width="5.7265625" style="25" bestFit="1" customWidth="1"/>
    <col min="15" max="15" width="8.26953125" style="25" bestFit="1" customWidth="1"/>
    <col min="16" max="16" width="8.7265625" style="25" bestFit="1" customWidth="1"/>
    <col min="17" max="17" width="9.54296875" style="25" bestFit="1" customWidth="1"/>
    <col min="18" max="18" width="5.81640625" style="25" bestFit="1" customWidth="1"/>
    <col min="19" max="19" width="11.1796875" style="25" bestFit="1" customWidth="1"/>
    <col min="20" max="16384" width="9.1796875" style="25"/>
  </cols>
  <sheetData>
    <row r="2" spans="2:19" ht="20" thickBot="1">
      <c r="B2" s="27" t="s">
        <v>155</v>
      </c>
    </row>
    <row r="3" spans="2:19" ht="15" thickTop="1">
      <c r="B3" s="28"/>
      <c r="C3" s="28"/>
      <c r="D3" s="28"/>
      <c r="E3" s="28"/>
      <c r="F3" s="28"/>
      <c r="G3" s="28"/>
      <c r="H3" s="28"/>
      <c r="I3" s="28"/>
      <c r="J3" s="28"/>
      <c r="K3" s="28"/>
      <c r="L3" s="28"/>
      <c r="M3" s="28"/>
      <c r="N3" s="28"/>
      <c r="O3" s="28"/>
      <c r="P3" s="28"/>
      <c r="Q3" s="28"/>
      <c r="R3" s="28"/>
      <c r="S3" s="28"/>
    </row>
    <row r="5" spans="2:19" ht="29">
      <c r="B5" s="29" t="s">
        <v>140</v>
      </c>
      <c r="C5" s="30" t="s">
        <v>39</v>
      </c>
      <c r="D5" s="30" t="s">
        <v>150</v>
      </c>
      <c r="E5" s="30" t="s">
        <v>151</v>
      </c>
      <c r="F5" s="30" t="s">
        <v>152</v>
      </c>
      <c r="G5" s="30" t="s">
        <v>153</v>
      </c>
      <c r="H5" s="32" t="s">
        <v>154</v>
      </c>
    </row>
    <row r="6" spans="2:19">
      <c r="B6" s="47"/>
      <c r="C6" s="48"/>
      <c r="D6" s="48"/>
      <c r="E6" s="48"/>
      <c r="F6" s="48"/>
      <c r="G6" s="49"/>
      <c r="H6" s="50"/>
    </row>
  </sheetData>
  <sheetProtection password="CCAC" sheet="1" objects="1" scenarios="1" formatCells="0" formatColumns="0" selectLockedCells="1"/>
  <printOptions horizontalCentered="1"/>
  <pageMargins left="0" right="0" top="0.74803149606299213" bottom="0.74803149606299213" header="0.31496062992125984" footer="0.31496062992125984"/>
  <pageSetup paperSize="5" scale="79" fitToHeight="0" orientation="landscape" r:id="rId1"/>
  <headerFooter>
    <oddFooter>&amp;LPrinted Date: &amp;D&amp;CPage &amp;P of &amp;N&amp;RFileName: &amp;F</oddFooter>
  </headerFooter>
  <tableParts count="1">
    <tablePart r:id="rId2"/>
  </tableParts>
</worksheet>
</file>

<file path=xl/worksheets/sheet2.xml><?xml version="1.0" encoding="utf-8"?>
<worksheet xmlns="http://schemas.openxmlformats.org/spreadsheetml/2006/main" xmlns:r="http://schemas.openxmlformats.org/officeDocument/2006/relationships">
  <sheetPr codeName="Sheet5">
    <pageSetUpPr fitToPage="1"/>
  </sheetPr>
  <dimension ref="B2:S34"/>
  <sheetViews>
    <sheetView showGridLines="0" tabSelected="1" topLeftCell="A10" zoomScale="90" zoomScaleNormal="90" workbookViewId="0">
      <selection activeCell="E20" sqref="E20"/>
    </sheetView>
  </sheetViews>
  <sheetFormatPr defaultColWidth="9.1796875" defaultRowHeight="14.5"/>
  <cols>
    <col min="1" max="1" width="3.7265625" style="2" customWidth="1"/>
    <col min="2" max="2" width="16.7265625" style="1" bestFit="1" customWidth="1"/>
    <col min="3" max="3" width="41.453125" style="2" customWidth="1"/>
    <col min="4" max="4" width="9.453125" style="19" customWidth="1"/>
    <col min="5" max="5" width="18.81640625" style="2" bestFit="1" customWidth="1"/>
    <col min="6" max="6" width="22.81640625" style="2" bestFit="1" customWidth="1"/>
    <col min="7" max="7" width="60" style="2" customWidth="1"/>
    <col min="8" max="8" width="9.1796875" style="2"/>
    <col min="9" max="9" width="9.1796875" style="2" customWidth="1"/>
    <col min="10" max="10" width="15.1796875" style="2" hidden="1" customWidth="1"/>
    <col min="11" max="11" width="12.1796875" style="2" hidden="1" customWidth="1"/>
    <col min="12" max="12" width="20.81640625" style="2" hidden="1" customWidth="1"/>
    <col min="13" max="13" width="9.1796875" style="2" hidden="1" customWidth="1"/>
    <col min="14" max="15" width="16.1796875" style="2" hidden="1" customWidth="1"/>
    <col min="16" max="19" width="9.1796875" style="2" hidden="1" customWidth="1"/>
    <col min="20" max="16384" width="9.1796875" style="2"/>
  </cols>
  <sheetData>
    <row r="2" spans="2:16" ht="26">
      <c r="B2" s="23" t="s">
        <v>37</v>
      </c>
    </row>
    <row r="3" spans="2:16">
      <c r="B3" s="26" t="s">
        <v>14</v>
      </c>
    </row>
    <row r="4" spans="2:16">
      <c r="B4" s="26" t="s">
        <v>16</v>
      </c>
      <c r="J4" s="1" t="s">
        <v>124</v>
      </c>
      <c r="K4" s="2" t="str">
        <f>G12&amp; " " &amp;G13</f>
        <v>Thara  Savio</v>
      </c>
    </row>
    <row r="5" spans="2:16">
      <c r="B5" s="2" t="s">
        <v>15</v>
      </c>
      <c r="J5" s="24" t="s">
        <v>125</v>
      </c>
      <c r="K5" s="25" t="s">
        <v>126</v>
      </c>
    </row>
    <row r="6" spans="2:16">
      <c r="B6" s="3" t="s">
        <v>36</v>
      </c>
      <c r="J6" s="24" t="s">
        <v>127</v>
      </c>
      <c r="K6" s="25" t="s">
        <v>13</v>
      </c>
    </row>
    <row r="7" spans="2:16">
      <c r="B7" s="3"/>
      <c r="J7" s="24" t="s">
        <v>128</v>
      </c>
      <c r="K7" s="2" t="str">
        <f>C11&amp;C12&amp;C13&amp;G12&amp;G13</f>
        <v>1TalormayThara Savio</v>
      </c>
    </row>
    <row r="8" spans="2:16" ht="15" thickBot="1">
      <c r="B8" s="3"/>
    </row>
    <row r="9" spans="2:16" ht="31">
      <c r="B9" s="88" t="s">
        <v>13</v>
      </c>
      <c r="C9" s="89"/>
      <c r="D9" s="89"/>
      <c r="E9" s="89"/>
      <c r="F9" s="89"/>
      <c r="G9" s="90"/>
      <c r="K9" s="2" t="s">
        <v>17</v>
      </c>
      <c r="M9" s="2" t="s">
        <v>17</v>
      </c>
      <c r="N9" s="2" t="s">
        <v>18</v>
      </c>
      <c r="P9" s="2" t="s">
        <v>19</v>
      </c>
    </row>
    <row r="10" spans="2:16" ht="15.75" customHeight="1">
      <c r="B10" s="9"/>
      <c r="C10" s="10"/>
      <c r="D10" s="20"/>
      <c r="E10" s="10"/>
      <c r="F10" s="10"/>
      <c r="G10" s="11"/>
      <c r="J10" s="2" t="s">
        <v>0</v>
      </c>
      <c r="K10" s="2" t="b">
        <f>IF(C11&lt;&gt;"",TRUE,FALSE)</f>
        <v>0</v>
      </c>
      <c r="L10" s="2" t="s">
        <v>3</v>
      </c>
      <c r="M10" s="2" t="b">
        <f>IF(G11&lt;&gt;"",TRUE,FALSE)</f>
        <v>1</v>
      </c>
      <c r="N10" s="2" t="b">
        <f t="array" ref="N10">IF(SUM(LEN(C20:D26),LEN(G12:G13),LEN(C13))&gt;0, TRUE,FALSE)</f>
        <v>1</v>
      </c>
      <c r="P10" s="2" t="b">
        <f>IF(OR(P20:P26),TRUE,FALSE)</f>
        <v>1</v>
      </c>
    </row>
    <row r="11" spans="2:16" ht="15.5">
      <c r="B11" s="12" t="s">
        <v>0</v>
      </c>
      <c r="C11" s="18"/>
      <c r="D11" s="21"/>
      <c r="E11" s="13"/>
      <c r="F11" s="14" t="s">
        <v>3</v>
      </c>
      <c r="G11" s="51" t="s">
        <v>276</v>
      </c>
      <c r="J11" s="2" t="s">
        <v>2</v>
      </c>
      <c r="K11" s="2" t="b">
        <f>IF(C12&lt;&gt;"",TRUE,FALSE)</f>
        <v>1</v>
      </c>
      <c r="L11" s="2" t="s">
        <v>4</v>
      </c>
      <c r="M11" s="2" t="b">
        <v>0</v>
      </c>
    </row>
    <row r="12" spans="2:16" ht="15.5">
      <c r="B12" s="12" t="s">
        <v>2</v>
      </c>
      <c r="C12" s="18">
        <v>1</v>
      </c>
      <c r="D12" s="21"/>
      <c r="E12" s="13"/>
      <c r="F12" s="14" t="s">
        <v>11</v>
      </c>
      <c r="G12" s="52" t="s">
        <v>285</v>
      </c>
      <c r="J12" s="2" t="s">
        <v>1</v>
      </c>
      <c r="K12" s="2" t="b">
        <f>IF(C13&lt;&gt;"",TRUE,FALSE)</f>
        <v>1</v>
      </c>
      <c r="L12" s="2" t="s">
        <v>11</v>
      </c>
      <c r="M12" s="2" t="b">
        <f>IF(G12&lt;&gt;"",TRUE,FALSE)</f>
        <v>1</v>
      </c>
      <c r="N12" s="2" t="s">
        <v>20</v>
      </c>
    </row>
    <row r="13" spans="2:16" ht="15.5">
      <c r="B13" s="12" t="s">
        <v>1</v>
      </c>
      <c r="C13" s="15" t="s">
        <v>284</v>
      </c>
      <c r="D13" s="21"/>
      <c r="E13" s="13"/>
      <c r="F13" s="14" t="s">
        <v>12</v>
      </c>
      <c r="G13" s="52" t="s">
        <v>286</v>
      </c>
      <c r="L13" s="2" t="s">
        <v>12</v>
      </c>
      <c r="M13" s="2" t="b">
        <f>IF(G13&lt;&gt;"",TRUE,FALSE)</f>
        <v>1</v>
      </c>
      <c r="N13" s="2" t="b">
        <f>IF(OR(K12,M12:M13),TRUE, FALSE)</f>
        <v>1</v>
      </c>
    </row>
    <row r="14" spans="2:16" ht="15.5" hidden="1">
      <c r="B14" s="12" t="s">
        <v>23</v>
      </c>
      <c r="C14" s="16"/>
      <c r="D14" s="21"/>
      <c r="E14" s="13"/>
      <c r="F14" s="14" t="s">
        <v>31</v>
      </c>
      <c r="G14" s="53">
        <f t="array" ref="G14">IF(SUM(LEN(R20:R26))&gt;0,SUMPRODUCT(D20:D26,R20:R26),"")</f>
        <v>98</v>
      </c>
      <c r="J14" s="2" t="s">
        <v>171</v>
      </c>
      <c r="K14" s="65"/>
      <c r="N14" s="2" t="b">
        <f>IF(G11&lt;&gt;"",TRUE,FALSE)</f>
        <v>1</v>
      </c>
    </row>
    <row r="15" spans="2:16" ht="15.5" hidden="1">
      <c r="B15" s="12" t="s">
        <v>24</v>
      </c>
      <c r="C15" s="16"/>
      <c r="D15" s="21"/>
      <c r="E15" s="13"/>
      <c r="F15" s="14" t="s">
        <v>35</v>
      </c>
      <c r="G15" s="53">
        <f t="array" ref="G15">IF(SUM(LEN(R20:R26))&gt;0,ROUND(AVERAGE(R20:R26),2),"")</f>
        <v>3</v>
      </c>
    </row>
    <row r="16" spans="2:16" ht="15.5" hidden="1">
      <c r="B16" s="12" t="s">
        <v>25</v>
      </c>
      <c r="C16" s="16"/>
      <c r="D16" s="21"/>
      <c r="E16" s="13"/>
      <c r="F16" s="14" t="s">
        <v>123</v>
      </c>
      <c r="G16" s="53" t="str">
        <f>IF(G11&lt;&gt;"",VLOOKUP(G11,setup!E3:F5003,2,FALSE),"")</f>
        <v>Architecture</v>
      </c>
      <c r="J16" s="2" t="s">
        <v>135</v>
      </c>
      <c r="K16" s="2" t="s">
        <v>136</v>
      </c>
      <c r="L16" s="2" t="s">
        <v>137</v>
      </c>
    </row>
    <row r="17" spans="2:19" ht="15.5" hidden="1">
      <c r="B17" s="12" t="s">
        <v>4</v>
      </c>
      <c r="C17" s="16"/>
      <c r="D17" s="21"/>
      <c r="E17" s="13"/>
      <c r="F17" s="14" t="s">
        <v>133</v>
      </c>
      <c r="G17" s="64" t="str">
        <f>IF(K14&lt;&gt;"",K14,"")</f>
        <v/>
      </c>
      <c r="J17" s="2" t="str">
        <f>IF(G17&lt;&gt;"",YEAR(G17),"")</f>
        <v/>
      </c>
      <c r="K17" s="2" t="str">
        <f>IF(G17&lt;&gt;"",MONTH(G17),"")</f>
        <v/>
      </c>
      <c r="L17" s="2" t="str">
        <f>IF(G17&lt;&gt;"",CHOOSE(MONTH(G17),1,1,1,2,2,2,3,3,3,4,4,4),"")</f>
        <v/>
      </c>
    </row>
    <row r="18" spans="2:19" ht="15" thickBot="1">
      <c r="B18" s="43"/>
      <c r="C18" s="44"/>
      <c r="D18" s="45"/>
      <c r="E18" s="44"/>
      <c r="F18" s="44"/>
      <c r="G18" s="46"/>
    </row>
    <row r="19" spans="2:19">
      <c r="B19" s="4" t="s">
        <v>9</v>
      </c>
      <c r="C19" s="5" t="s">
        <v>10</v>
      </c>
      <c r="D19" s="22" t="s">
        <v>7</v>
      </c>
      <c r="E19" s="5" t="s">
        <v>5</v>
      </c>
      <c r="F19" s="5" t="s">
        <v>6</v>
      </c>
      <c r="G19" s="6" t="s">
        <v>8</v>
      </c>
      <c r="J19" s="2" t="s">
        <v>10</v>
      </c>
      <c r="K19" s="2" t="s">
        <v>5</v>
      </c>
      <c r="L19" s="2" t="s">
        <v>6</v>
      </c>
      <c r="M19" s="2" t="s">
        <v>7</v>
      </c>
      <c r="N19" s="2" t="s">
        <v>132</v>
      </c>
      <c r="O19" s="2" t="s">
        <v>131</v>
      </c>
      <c r="P19" s="2" t="s">
        <v>129</v>
      </c>
      <c r="Q19" s="2" t="s">
        <v>130</v>
      </c>
      <c r="R19" s="2" t="s">
        <v>34</v>
      </c>
      <c r="S19" s="2" t="s">
        <v>20</v>
      </c>
    </row>
    <row r="20" spans="2:19" ht="43.5">
      <c r="B20" s="7">
        <v>1</v>
      </c>
      <c r="C20" s="74" t="s">
        <v>277</v>
      </c>
      <c r="D20" s="75">
        <v>5</v>
      </c>
      <c r="E20" s="16">
        <v>3</v>
      </c>
      <c r="F20" s="16" t="s">
        <v>28</v>
      </c>
      <c r="G20" s="66" t="s">
        <v>287</v>
      </c>
      <c r="J20" s="2" t="b">
        <f t="shared" ref="J20:J26" si="0">IF(C20&lt;&gt;"",TRUE,FALSE)</f>
        <v>1</v>
      </c>
      <c r="K20" s="2" t="b">
        <f t="shared" ref="K20:L26" si="1">IF(E20&lt;&gt;"",TRUE,FALSE)</f>
        <v>1</v>
      </c>
      <c r="L20" s="2" t="b">
        <f t="shared" si="1"/>
        <v>1</v>
      </c>
      <c r="M20" s="2" t="b">
        <f t="shared" ref="M20:M26" si="2">IF(D20&lt;&gt;"",TRUE,FALSE)</f>
        <v>1</v>
      </c>
      <c r="N20" s="2" t="b">
        <f t="array" ref="N20">IF(SUM(LEN(C20:G20))&gt;0,TRUE,FALSE)</f>
        <v>1</v>
      </c>
      <c r="O20" s="2" t="b">
        <f t="array" ref="O20">IF(SUM(LEN(C21:$D$26))&gt;0,TRUE,FALSE)</f>
        <v>1</v>
      </c>
      <c r="P20" s="2" t="b">
        <f>IF(OR(AND(C11&lt;&gt;"",C12&lt;&gt;"",G11&lt;&gt;"",C13=""),O20),TRUE,FALSE)</f>
        <v>1</v>
      </c>
      <c r="Q20" s="2" t="b">
        <f>IF(AND(N20,$C$13&lt;&gt;""),TRUE,FALSE)</f>
        <v>1</v>
      </c>
      <c r="R20" s="2">
        <f>IF(F20&lt;&gt;"",VLOOKUP(F20,setup!$A$2:$B$6,2,FALSE),"")</f>
        <v>3</v>
      </c>
      <c r="S20" s="2" t="b">
        <f>IF(AND(Q20,OR(E20="",F20="")),TRUE,FALSE)</f>
        <v>0</v>
      </c>
    </row>
    <row r="21" spans="2:19" ht="29">
      <c r="B21" s="7">
        <v>2</v>
      </c>
      <c r="C21" s="74" t="s">
        <v>278</v>
      </c>
      <c r="D21" s="75">
        <v>5</v>
      </c>
      <c r="E21" s="16" t="s">
        <v>288</v>
      </c>
      <c r="F21" s="16" t="s">
        <v>29</v>
      </c>
      <c r="G21" s="66" t="s">
        <v>289</v>
      </c>
      <c r="J21" s="2" t="b">
        <f t="shared" si="0"/>
        <v>1</v>
      </c>
      <c r="K21" s="2" t="b">
        <f t="shared" si="1"/>
        <v>1</v>
      </c>
      <c r="L21" s="2" t="b">
        <f t="shared" si="1"/>
        <v>1</v>
      </c>
      <c r="M21" s="2" t="b">
        <f t="shared" si="2"/>
        <v>1</v>
      </c>
      <c r="N21" s="2" t="b">
        <f t="array" ref="N21">IF(SUM(LEN(C21:G21))&gt;0,TRUE,FALSE)</f>
        <v>1</v>
      </c>
      <c r="O21" s="2" t="b">
        <f t="array" ref="O21">IF(SUM(LEN(C22:$D$26))&gt;0,TRUE,FALSE)</f>
        <v>1</v>
      </c>
      <c r="P21" s="2" t="b">
        <f>IF(OR(N21,O21),TRUE,FALSE)</f>
        <v>1</v>
      </c>
      <c r="Q21" s="2" t="b">
        <f t="shared" ref="Q21:Q26" si="3">IF(AND(N21,$C$13&lt;&gt;""),TRUE,FALSE)</f>
        <v>1</v>
      </c>
      <c r="R21" s="2">
        <f>IF(F21&lt;&gt;"",VLOOKUP(F21,setup!$A$2:$B$6,2,FALSE),"")</f>
        <v>2</v>
      </c>
      <c r="S21" s="2" t="b">
        <f>IF(AND(Q21,OR(E21="",F21="")),TRUE,FALSE)</f>
        <v>0</v>
      </c>
    </row>
    <row r="22" spans="2:19" ht="43.5">
      <c r="B22" s="7">
        <v>3</v>
      </c>
      <c r="C22" s="74" t="s">
        <v>279</v>
      </c>
      <c r="D22" s="75">
        <v>5</v>
      </c>
      <c r="E22" s="16">
        <v>3</v>
      </c>
      <c r="F22" s="16" t="s">
        <v>27</v>
      </c>
      <c r="G22" s="66" t="s">
        <v>290</v>
      </c>
      <c r="J22" s="2" t="b">
        <f t="shared" si="0"/>
        <v>1</v>
      </c>
      <c r="K22" s="2" t="b">
        <f t="shared" si="1"/>
        <v>1</v>
      </c>
      <c r="L22" s="2" t="b">
        <f t="shared" si="1"/>
        <v>1</v>
      </c>
      <c r="M22" s="2" t="b">
        <f t="shared" si="2"/>
        <v>1</v>
      </c>
      <c r="N22" s="2" t="b">
        <f t="array" ref="N22">IF(SUM(LEN(C22:G22))&gt;0,TRUE,FALSE)</f>
        <v>1</v>
      </c>
      <c r="O22" s="2" t="b">
        <f t="array" ref="O22">IF(SUM(LEN(C23:$D$26))&gt;0,TRUE,FALSE)</f>
        <v>1</v>
      </c>
      <c r="P22" s="2" t="b">
        <f t="shared" ref="P22:P26" si="4">IF(OR(N22,O22),TRUE,FALSE)</f>
        <v>1</v>
      </c>
      <c r="Q22" s="2" t="b">
        <f t="shared" si="3"/>
        <v>1</v>
      </c>
      <c r="R22" s="2">
        <f>IF(F22&lt;&gt;"",VLOOKUP(F22,setup!$A$2:$B$6,2,FALSE),"")</f>
        <v>4</v>
      </c>
      <c r="S22" s="2" t="b">
        <f t="shared" ref="S22:S26" si="5">IF(AND(Q22,OR(E22="",F22="")),TRUE,FALSE)</f>
        <v>0</v>
      </c>
    </row>
    <row r="23" spans="2:19" ht="29">
      <c r="B23" s="7">
        <v>4</v>
      </c>
      <c r="C23" s="74" t="s">
        <v>280</v>
      </c>
      <c r="D23" s="75">
        <v>5</v>
      </c>
      <c r="E23" s="16">
        <v>5</v>
      </c>
      <c r="F23" s="16" t="s">
        <v>30</v>
      </c>
      <c r="G23" s="66" t="s">
        <v>291</v>
      </c>
      <c r="J23" s="2" t="b">
        <f t="shared" si="0"/>
        <v>1</v>
      </c>
      <c r="K23" s="2" t="b">
        <f t="shared" si="1"/>
        <v>1</v>
      </c>
      <c r="L23" s="2" t="b">
        <f t="shared" si="1"/>
        <v>1</v>
      </c>
      <c r="M23" s="2" t="b">
        <f t="shared" si="2"/>
        <v>1</v>
      </c>
      <c r="N23" s="2" t="b">
        <f t="array" ref="N23">IF(SUM(LEN(C23:G23))&gt;0,TRUE,FALSE)</f>
        <v>1</v>
      </c>
      <c r="O23" s="2" t="b">
        <f t="array" ref="O23">IF(SUM(LEN(C24:$D$26))&gt;0,TRUE,FALSE)</f>
        <v>1</v>
      </c>
      <c r="P23" s="2" t="b">
        <f t="shared" si="4"/>
        <v>1</v>
      </c>
      <c r="Q23" s="2" t="b">
        <f t="shared" si="3"/>
        <v>1</v>
      </c>
      <c r="R23" s="2">
        <f>IF(F23&lt;&gt;"",VLOOKUP(F23,setup!$A$2:$B$6,2,FALSE),"")</f>
        <v>5</v>
      </c>
      <c r="S23" s="2" t="b">
        <f t="shared" si="5"/>
        <v>0</v>
      </c>
    </row>
    <row r="24" spans="2:19">
      <c r="B24" s="7">
        <v>5</v>
      </c>
      <c r="C24" s="74" t="s">
        <v>281</v>
      </c>
      <c r="D24" s="75">
        <v>4</v>
      </c>
      <c r="E24" s="16">
        <v>2</v>
      </c>
      <c r="F24" s="16" t="s">
        <v>28</v>
      </c>
      <c r="G24" s="66" t="s">
        <v>292</v>
      </c>
      <c r="J24" s="2" t="b">
        <f t="shared" si="0"/>
        <v>1</v>
      </c>
      <c r="K24" s="2" t="b">
        <f t="shared" si="1"/>
        <v>1</v>
      </c>
      <c r="L24" s="2" t="b">
        <f t="shared" si="1"/>
        <v>1</v>
      </c>
      <c r="M24" s="2" t="b">
        <f t="shared" si="2"/>
        <v>1</v>
      </c>
      <c r="N24" s="2" t="b">
        <f t="array" ref="N24">IF(SUM(LEN(C24:G24))&gt;0,TRUE,FALSE)</f>
        <v>1</v>
      </c>
      <c r="O24" s="2" t="b">
        <f t="array" ref="O24">IF(SUM(LEN(C25:$D$26))&gt;0,TRUE,FALSE)</f>
        <v>1</v>
      </c>
      <c r="P24" s="2" t="b">
        <f t="shared" si="4"/>
        <v>1</v>
      </c>
      <c r="Q24" s="2" t="b">
        <f t="shared" si="3"/>
        <v>1</v>
      </c>
      <c r="R24" s="2">
        <f>IF(F24&lt;&gt;"",VLOOKUP(F24,setup!$A$2:$B$6,2,FALSE),"")</f>
        <v>3</v>
      </c>
      <c r="S24" s="2" t="b">
        <f t="shared" si="5"/>
        <v>0</v>
      </c>
    </row>
    <row r="25" spans="2:19" ht="29">
      <c r="B25" s="80">
        <v>6</v>
      </c>
      <c r="C25" s="74" t="s">
        <v>282</v>
      </c>
      <c r="D25" s="75">
        <v>4</v>
      </c>
      <c r="E25" s="16">
        <v>1</v>
      </c>
      <c r="F25" s="16" t="s">
        <v>29</v>
      </c>
      <c r="G25" s="81" t="s">
        <v>293</v>
      </c>
      <c r="J25" s="2" t="b">
        <f t="shared" si="0"/>
        <v>1</v>
      </c>
      <c r="K25" s="2" t="b">
        <f t="shared" si="1"/>
        <v>1</v>
      </c>
      <c r="L25" s="2" t="b">
        <f t="shared" si="1"/>
        <v>1</v>
      </c>
      <c r="M25" s="2" t="b">
        <f t="shared" si="2"/>
        <v>1</v>
      </c>
      <c r="N25" s="2" t="b">
        <f t="array" ref="N25">IF(SUM(LEN(C25:G25))&gt;0,TRUE,FALSE)</f>
        <v>1</v>
      </c>
      <c r="O25" s="2" t="b">
        <f t="array" ref="O25">IF(SUM(LEN(C26:$D$26))&gt;0,TRUE,FALSE)</f>
        <v>1</v>
      </c>
      <c r="P25" s="2" t="b">
        <f t="shared" si="4"/>
        <v>1</v>
      </c>
      <c r="Q25" s="2" t="b">
        <f t="shared" si="3"/>
        <v>1</v>
      </c>
      <c r="R25" s="2">
        <f>IF(F25&lt;&gt;"",VLOOKUP(F25,setup!$A$2:$B$6,2,FALSE),"")</f>
        <v>2</v>
      </c>
      <c r="S25" s="2" t="b">
        <f t="shared" si="5"/>
        <v>0</v>
      </c>
    </row>
    <row r="26" spans="2:19" ht="29.5" thickBot="1">
      <c r="B26" s="8">
        <v>7</v>
      </c>
      <c r="C26" s="74" t="s">
        <v>283</v>
      </c>
      <c r="D26" s="75">
        <v>4</v>
      </c>
      <c r="E26" s="16">
        <v>1</v>
      </c>
      <c r="F26" s="16" t="s">
        <v>29</v>
      </c>
      <c r="G26" s="67" t="s">
        <v>294</v>
      </c>
      <c r="J26" s="2" t="b">
        <f t="shared" si="0"/>
        <v>1</v>
      </c>
      <c r="K26" s="2" t="b">
        <f t="shared" si="1"/>
        <v>1</v>
      </c>
      <c r="L26" s="2" t="b">
        <f t="shared" si="1"/>
        <v>1</v>
      </c>
      <c r="M26" s="2" t="b">
        <f t="shared" si="2"/>
        <v>1</v>
      </c>
      <c r="N26" s="2" t="b">
        <f t="array" ref="N26">IF(SUM(LEN(C26:G26))&gt;0,TRUE,FALSE)</f>
        <v>1</v>
      </c>
      <c r="O26" s="2" t="b">
        <f t="array" ref="O26">IF(SUM(LEN(C$26:$D27))&gt;0,TRUE,FALSE)</f>
        <v>1</v>
      </c>
      <c r="P26" s="2" t="b">
        <f t="shared" si="4"/>
        <v>1</v>
      </c>
      <c r="Q26" s="2" t="b">
        <f t="shared" si="3"/>
        <v>1</v>
      </c>
      <c r="R26" s="2">
        <f>IF(F26&lt;&gt;"",VLOOKUP(F26,setup!$A$2:$B$6,2,FALSE),"")</f>
        <v>2</v>
      </c>
      <c r="S26" s="2" t="b">
        <f t="shared" si="5"/>
        <v>0</v>
      </c>
    </row>
    <row r="32" spans="2:19" ht="26">
      <c r="B32" s="17" t="s">
        <v>21</v>
      </c>
    </row>
    <row r="33" spans="2:7" ht="62.25" customHeight="1">
      <c r="B33" s="91" t="s">
        <v>22</v>
      </c>
      <c r="C33" s="91"/>
      <c r="D33" s="91"/>
      <c r="E33" s="91"/>
      <c r="F33" s="91"/>
      <c r="G33" s="91"/>
    </row>
    <row r="34" spans="2:7">
      <c r="B34" s="3"/>
    </row>
  </sheetData>
  <sheetProtection password="CCAC" sheet="1" objects="1" scenarios="1" formatCells="0" formatColumns="0" selectLockedCells="1"/>
  <mergeCells count="2">
    <mergeCell ref="B9:G9"/>
    <mergeCell ref="B33:G33"/>
  </mergeCells>
  <conditionalFormatting sqref="C20:D26">
    <cfRule type="cellIs" dxfId="122" priority="30" operator="equal">
      <formula>$P20=FALSE</formula>
    </cfRule>
  </conditionalFormatting>
  <conditionalFormatting sqref="G12">
    <cfRule type="cellIs" dxfId="121" priority="12" operator="equal">
      <formula>$N10=FALSE</formula>
    </cfRule>
  </conditionalFormatting>
  <conditionalFormatting sqref="G13">
    <cfRule type="cellIs" dxfId="120" priority="11" operator="equal">
      <formula>$N10=FALSE</formula>
    </cfRule>
  </conditionalFormatting>
  <conditionalFormatting sqref="C13">
    <cfRule type="cellIs" dxfId="119" priority="10" operator="equal">
      <formula>$N10=FALSE</formula>
    </cfRule>
  </conditionalFormatting>
  <conditionalFormatting sqref="G17">
    <cfRule type="cellIs" dxfId="118" priority="5" operator="equal">
      <formula>$N$14=FALSE</formula>
    </cfRule>
  </conditionalFormatting>
  <conditionalFormatting sqref="E20:F26">
    <cfRule type="expression" dxfId="117" priority="2">
      <formula>$S20</formula>
    </cfRule>
  </conditionalFormatting>
  <dataValidations count="4">
    <dataValidation type="whole" operator="greaterThanOrEqual" allowBlank="1" showInputMessage="1" showErrorMessage="1" errorTitle="Non numeric values detected" error="Please enter only positive integer only." sqref="D20:D26">
      <formula1>0</formula1>
    </dataValidation>
    <dataValidation type="list" allowBlank="1" showInputMessage="1" showErrorMessage="1" errorTitle="Error Detected" error="Please pick from the list only." sqref="F20:F26">
      <formula1>"Not Met, Almost Meets, Meets, Exceeds, Far Exceeds"</formula1>
    </dataValidation>
    <dataValidation type="list" allowBlank="1" showInputMessage="1" showErrorMessage="1" errorTitle="Error detected" error="Please pick from the list only." sqref="E20:E26">
      <formula1>"&lt;1, 1,2,3,4,5,6,7,8,9,10,11,12,13,14,15,15+"</formula1>
    </dataValidation>
    <dataValidation type="list" allowBlank="1" showInputMessage="1" showErrorMessage="1" errorTitle="Pick from the list only" error="Please pick from the list only and try again." sqref="C14:C16">
      <formula1>"Yes"</formula1>
    </dataValidation>
  </dataValidations>
  <printOptions horizontalCentered="1"/>
  <pageMargins left="0" right="0" top="0.74803149606299213" bottom="0.74803149606299213" header="0.31496062992125984" footer="0.31496062992125984"/>
  <pageSetup paperSize="5" scale="93" orientation="landscape" r:id="rId1"/>
  <headerFooter>
    <oddFooter>&amp;LPrinted Date: &amp;D&amp;CPage &amp;P of &amp;N&amp;RFileName: &amp;F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4"/>
  <dimension ref="A1:A32"/>
  <sheetViews>
    <sheetView showGridLines="0" workbookViewId="0"/>
  </sheetViews>
  <sheetFormatPr defaultColWidth="9.1796875" defaultRowHeight="14.5"/>
  <cols>
    <col min="1" max="16384" width="9.1796875" style="77"/>
  </cols>
  <sheetData>
    <row r="1" spans="1:1" ht="21">
      <c r="A1" s="76" t="s">
        <v>182</v>
      </c>
    </row>
    <row r="3" spans="1:1">
      <c r="A3" s="78" t="s">
        <v>183</v>
      </c>
    </row>
    <row r="13" spans="1:1" ht="18.5">
      <c r="A13" s="79" t="s">
        <v>184</v>
      </c>
    </row>
    <row r="14" spans="1:1">
      <c r="A14" s="77" t="s">
        <v>185</v>
      </c>
    </row>
    <row r="30" spans="1:1" ht="18.5">
      <c r="A30" s="79" t="s">
        <v>186</v>
      </c>
    </row>
    <row r="31" spans="1:1">
      <c r="A31" s="77" t="s">
        <v>187</v>
      </c>
    </row>
    <row r="32" spans="1:1">
      <c r="A32" s="77" t="s">
        <v>188</v>
      </c>
    </row>
  </sheetData>
  <sheetProtection password="CCAC" sheet="1" objects="1" scenarios="1" formatCells="0" formatColumns="0" select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3"/>
  <dimension ref="A1:F121"/>
  <sheetViews>
    <sheetView topLeftCell="B1" workbookViewId="0">
      <pane ySplit="1" topLeftCell="A2" activePane="bottomLeft" state="frozen"/>
      <selection pane="bottomLeft" activeCell="E11" sqref="E11"/>
    </sheetView>
  </sheetViews>
  <sheetFormatPr defaultRowHeight="14.5"/>
  <cols>
    <col min="1" max="1" width="18.453125" bestFit="1" customWidth="1"/>
    <col min="2" max="2" width="6.1796875" bestFit="1" customWidth="1"/>
    <col min="5" max="5" width="49" style="71" customWidth="1"/>
    <col min="6" max="6" width="28.1796875" style="71" bestFit="1" customWidth="1"/>
  </cols>
  <sheetData>
    <row r="1" spans="1:6">
      <c r="A1" s="73" t="s">
        <v>33</v>
      </c>
      <c r="B1" s="73" t="s">
        <v>32</v>
      </c>
      <c r="E1" s="72" t="s">
        <v>38</v>
      </c>
      <c r="F1" s="72" t="s">
        <v>39</v>
      </c>
    </row>
    <row r="2" spans="1:6">
      <c r="A2" s="71" t="s">
        <v>26</v>
      </c>
      <c r="B2" s="71">
        <v>1</v>
      </c>
      <c r="E2" s="71" t="s">
        <v>181</v>
      </c>
      <c r="F2" s="71" t="s">
        <v>79</v>
      </c>
    </row>
    <row r="3" spans="1:6">
      <c r="A3" s="71" t="s">
        <v>29</v>
      </c>
      <c r="B3" s="71">
        <v>2</v>
      </c>
      <c r="E3" s="71" t="s">
        <v>78</v>
      </c>
      <c r="F3" s="71" t="s">
        <v>79</v>
      </c>
    </row>
    <row r="4" spans="1:6">
      <c r="A4" s="71" t="s">
        <v>28</v>
      </c>
      <c r="B4" s="71">
        <v>3</v>
      </c>
      <c r="E4" s="71" t="s">
        <v>111</v>
      </c>
      <c r="F4" s="71" t="s">
        <v>79</v>
      </c>
    </row>
    <row r="5" spans="1:6">
      <c r="A5" s="71" t="s">
        <v>27</v>
      </c>
      <c r="B5" s="71">
        <v>4</v>
      </c>
      <c r="E5" s="71" t="s">
        <v>112</v>
      </c>
      <c r="F5" s="71" t="s">
        <v>79</v>
      </c>
    </row>
    <row r="6" spans="1:6">
      <c r="A6" s="71" t="s">
        <v>30</v>
      </c>
      <c r="B6" s="71">
        <v>5</v>
      </c>
      <c r="E6" s="71" t="s">
        <v>113</v>
      </c>
      <c r="F6" s="71" t="s">
        <v>79</v>
      </c>
    </row>
    <row r="7" spans="1:6">
      <c r="E7" s="71" t="s">
        <v>199</v>
      </c>
      <c r="F7" s="71" t="s">
        <v>79</v>
      </c>
    </row>
    <row r="8" spans="1:6">
      <c r="E8" s="71" t="s">
        <v>191</v>
      </c>
      <c r="F8" s="71" t="s">
        <v>79</v>
      </c>
    </row>
    <row r="9" spans="1:6">
      <c r="E9" s="71" t="s">
        <v>44</v>
      </c>
      <c r="F9" s="71" t="s">
        <v>45</v>
      </c>
    </row>
    <row r="10" spans="1:6" s="2" customFormat="1">
      <c r="E10" s="71" t="s">
        <v>276</v>
      </c>
      <c r="F10" s="71" t="s">
        <v>45</v>
      </c>
    </row>
    <row r="11" spans="1:6">
      <c r="E11" s="71" t="s">
        <v>49</v>
      </c>
      <c r="F11" s="71" t="s">
        <v>45</v>
      </c>
    </row>
    <row r="12" spans="1:6">
      <c r="E12" s="71" t="s">
        <v>61</v>
      </c>
      <c r="F12" s="71" t="s">
        <v>45</v>
      </c>
    </row>
    <row r="13" spans="1:6">
      <c r="E13" s="71" t="s">
        <v>200</v>
      </c>
      <c r="F13" s="71" t="s">
        <v>45</v>
      </c>
    </row>
    <row r="14" spans="1:6">
      <c r="E14" s="71" t="s">
        <v>201</v>
      </c>
      <c r="F14" s="71" t="s">
        <v>45</v>
      </c>
    </row>
    <row r="15" spans="1:6">
      <c r="E15" s="71" t="s">
        <v>116</v>
      </c>
      <c r="F15" s="71" t="s">
        <v>45</v>
      </c>
    </row>
    <row r="16" spans="1:6">
      <c r="E16" s="71" t="s">
        <v>46</v>
      </c>
      <c r="F16" s="71" t="s">
        <v>47</v>
      </c>
    </row>
    <row r="17" spans="5:6">
      <c r="E17" s="71" t="s">
        <v>48</v>
      </c>
      <c r="F17" s="71" t="s">
        <v>47</v>
      </c>
    </row>
    <row r="18" spans="5:6">
      <c r="E18" s="71" t="s">
        <v>50</v>
      </c>
      <c r="F18" s="71" t="s">
        <v>47</v>
      </c>
    </row>
    <row r="19" spans="5:6">
      <c r="E19" s="71" t="s">
        <v>51</v>
      </c>
      <c r="F19" s="71" t="s">
        <v>47</v>
      </c>
    </row>
    <row r="20" spans="5:6">
      <c r="E20" s="71" t="s">
        <v>52</v>
      </c>
      <c r="F20" s="71" t="s">
        <v>47</v>
      </c>
    </row>
    <row r="21" spans="5:6">
      <c r="E21" s="71" t="s">
        <v>53</v>
      </c>
      <c r="F21" s="71" t="s">
        <v>47</v>
      </c>
    </row>
    <row r="22" spans="5:6">
      <c r="E22" s="71" t="s">
        <v>197</v>
      </c>
      <c r="F22" s="71" t="s">
        <v>47</v>
      </c>
    </row>
    <row r="23" spans="5:6">
      <c r="E23" s="71" t="s">
        <v>202</v>
      </c>
      <c r="F23" s="71" t="s">
        <v>47</v>
      </c>
    </row>
    <row r="24" spans="5:6">
      <c r="E24" s="71" t="s">
        <v>64</v>
      </c>
      <c r="F24" s="71" t="s">
        <v>47</v>
      </c>
    </row>
    <row r="25" spans="5:6">
      <c r="E25" s="71" t="s">
        <v>65</v>
      </c>
      <c r="F25" s="71" t="s">
        <v>47</v>
      </c>
    </row>
    <row r="26" spans="5:6">
      <c r="E26" s="71" t="s">
        <v>203</v>
      </c>
      <c r="F26" s="71" t="s">
        <v>47</v>
      </c>
    </row>
    <row r="27" spans="5:6">
      <c r="E27" s="71" t="s">
        <v>71</v>
      </c>
      <c r="F27" s="71" t="s">
        <v>47</v>
      </c>
    </row>
    <row r="28" spans="5:6">
      <c r="E28" s="71" t="s">
        <v>232</v>
      </c>
      <c r="F28" s="71" t="s">
        <v>47</v>
      </c>
    </row>
    <row r="29" spans="5:6">
      <c r="E29" s="71" t="s">
        <v>72</v>
      </c>
      <c r="F29" s="71" t="s">
        <v>47</v>
      </c>
    </row>
    <row r="30" spans="5:6">
      <c r="E30" s="71" t="s">
        <v>74</v>
      </c>
      <c r="F30" s="71" t="s">
        <v>47</v>
      </c>
    </row>
    <row r="31" spans="5:6">
      <c r="E31" s="71" t="s">
        <v>80</v>
      </c>
      <c r="F31" s="71" t="s">
        <v>47</v>
      </c>
    </row>
    <row r="32" spans="5:6" s="2" customFormat="1">
      <c r="E32" s="71" t="s">
        <v>86</v>
      </c>
      <c r="F32" s="71" t="s">
        <v>47</v>
      </c>
    </row>
    <row r="33" spans="5:6">
      <c r="E33" s="71" t="s">
        <v>92</v>
      </c>
      <c r="F33" s="71" t="s">
        <v>47</v>
      </c>
    </row>
    <row r="34" spans="5:6">
      <c r="E34" s="71" t="s">
        <v>192</v>
      </c>
      <c r="F34" s="71" t="s">
        <v>47</v>
      </c>
    </row>
    <row r="35" spans="5:6">
      <c r="E35" s="71" t="s">
        <v>204</v>
      </c>
      <c r="F35" s="71" t="s">
        <v>47</v>
      </c>
    </row>
    <row r="36" spans="5:6">
      <c r="E36" s="71" t="s">
        <v>97</v>
      </c>
      <c r="F36" s="71" t="s">
        <v>47</v>
      </c>
    </row>
    <row r="37" spans="5:6">
      <c r="E37" s="71" t="s">
        <v>98</v>
      </c>
      <c r="F37" s="71" t="s">
        <v>47</v>
      </c>
    </row>
    <row r="38" spans="5:6">
      <c r="E38" s="71" t="s">
        <v>194</v>
      </c>
      <c r="F38" s="71" t="s">
        <v>47</v>
      </c>
    </row>
    <row r="39" spans="5:6">
      <c r="E39" s="71" t="s">
        <v>205</v>
      </c>
      <c r="F39" s="71" t="s">
        <v>47</v>
      </c>
    </row>
    <row r="40" spans="5:6">
      <c r="E40" s="71" t="s">
        <v>106</v>
      </c>
      <c r="F40" s="71" t="s">
        <v>47</v>
      </c>
    </row>
    <row r="41" spans="5:6">
      <c r="E41" s="71" t="s">
        <v>107</v>
      </c>
      <c r="F41" s="71" t="s">
        <v>47</v>
      </c>
    </row>
    <row r="42" spans="5:6">
      <c r="E42" s="71" t="s">
        <v>191</v>
      </c>
      <c r="F42" s="71" t="s">
        <v>47</v>
      </c>
    </row>
    <row r="43" spans="5:6">
      <c r="E43" s="71" t="s">
        <v>115</v>
      </c>
      <c r="F43" s="71" t="s">
        <v>47</v>
      </c>
    </row>
    <row r="44" spans="5:6">
      <c r="E44" s="71" t="s">
        <v>120</v>
      </c>
      <c r="F44" s="71" t="s">
        <v>47</v>
      </c>
    </row>
    <row r="45" spans="5:6">
      <c r="E45" s="71" t="s">
        <v>56</v>
      </c>
      <c r="F45" s="71" t="s">
        <v>57</v>
      </c>
    </row>
    <row r="46" spans="5:6">
      <c r="E46" s="71" t="s">
        <v>58</v>
      </c>
      <c r="F46" s="71" t="s">
        <v>57</v>
      </c>
    </row>
    <row r="47" spans="5:6">
      <c r="E47" s="71" t="s">
        <v>60</v>
      </c>
      <c r="F47" s="71" t="s">
        <v>57</v>
      </c>
    </row>
    <row r="48" spans="5:6">
      <c r="E48" s="71" t="s">
        <v>206</v>
      </c>
      <c r="F48" s="71" t="s">
        <v>57</v>
      </c>
    </row>
    <row r="49" spans="5:6" s="2" customFormat="1">
      <c r="E49" s="71" t="s">
        <v>62</v>
      </c>
      <c r="F49" s="71" t="s">
        <v>57</v>
      </c>
    </row>
    <row r="50" spans="5:6">
      <c r="E50" s="71" t="s">
        <v>207</v>
      </c>
      <c r="F50" s="71" t="s">
        <v>57</v>
      </c>
    </row>
    <row r="51" spans="5:6">
      <c r="E51" s="71" t="s">
        <v>63</v>
      </c>
      <c r="F51" s="71" t="s">
        <v>57</v>
      </c>
    </row>
    <row r="52" spans="5:6">
      <c r="E52" s="71" t="s">
        <v>208</v>
      </c>
      <c r="F52" s="71" t="s">
        <v>57</v>
      </c>
    </row>
    <row r="53" spans="5:6">
      <c r="E53" s="71" t="s">
        <v>209</v>
      </c>
      <c r="F53" s="71" t="s">
        <v>57</v>
      </c>
    </row>
    <row r="54" spans="5:6">
      <c r="E54" s="71" t="s">
        <v>101</v>
      </c>
      <c r="F54" s="71" t="s">
        <v>57</v>
      </c>
    </row>
    <row r="55" spans="5:6">
      <c r="E55" s="71" t="s">
        <v>189</v>
      </c>
      <c r="F55" s="71" t="s">
        <v>41</v>
      </c>
    </row>
    <row r="56" spans="5:6">
      <c r="E56" s="71" t="s">
        <v>40</v>
      </c>
      <c r="F56" s="71" t="s">
        <v>41</v>
      </c>
    </row>
    <row r="57" spans="5:6">
      <c r="E57" s="71" t="s">
        <v>210</v>
      </c>
      <c r="F57" s="71" t="s">
        <v>41</v>
      </c>
    </row>
    <row r="58" spans="5:6">
      <c r="E58" s="71" t="s">
        <v>211</v>
      </c>
      <c r="F58" s="71" t="s">
        <v>41</v>
      </c>
    </row>
    <row r="59" spans="5:6">
      <c r="E59" s="71" t="s">
        <v>212</v>
      </c>
      <c r="F59" s="71" t="s">
        <v>41</v>
      </c>
    </row>
    <row r="60" spans="5:6">
      <c r="E60" s="71" t="s">
        <v>213</v>
      </c>
      <c r="F60" s="71" t="s">
        <v>41</v>
      </c>
    </row>
    <row r="61" spans="5:6">
      <c r="E61" s="71" t="s">
        <v>59</v>
      </c>
      <c r="F61" s="71" t="s">
        <v>41</v>
      </c>
    </row>
    <row r="62" spans="5:6">
      <c r="E62" s="71" t="s">
        <v>214</v>
      </c>
      <c r="F62" s="71" t="s">
        <v>41</v>
      </c>
    </row>
    <row r="63" spans="5:6">
      <c r="E63" s="71" t="s">
        <v>193</v>
      </c>
      <c r="F63" s="71" t="s">
        <v>41</v>
      </c>
    </row>
    <row r="64" spans="5:6">
      <c r="E64" s="71" t="s">
        <v>215</v>
      </c>
      <c r="F64" s="71" t="s">
        <v>41</v>
      </c>
    </row>
    <row r="65" spans="5:6">
      <c r="E65" s="71" t="s">
        <v>66</v>
      </c>
      <c r="F65" s="71" t="s">
        <v>41</v>
      </c>
    </row>
    <row r="66" spans="5:6">
      <c r="E66" s="71" t="s">
        <v>73</v>
      </c>
      <c r="F66" s="71" t="s">
        <v>41</v>
      </c>
    </row>
    <row r="67" spans="5:6">
      <c r="E67" s="71" t="s">
        <v>77</v>
      </c>
      <c r="F67" s="71" t="s">
        <v>41</v>
      </c>
    </row>
    <row r="68" spans="5:6">
      <c r="E68" s="71" t="s">
        <v>83</v>
      </c>
      <c r="F68" s="71" t="s">
        <v>41</v>
      </c>
    </row>
    <row r="69" spans="5:6">
      <c r="E69" s="71" t="s">
        <v>84</v>
      </c>
      <c r="F69" s="71" t="s">
        <v>41</v>
      </c>
    </row>
    <row r="70" spans="5:6">
      <c r="E70" s="71" t="s">
        <v>190</v>
      </c>
      <c r="F70" s="71" t="s">
        <v>41</v>
      </c>
    </row>
    <row r="71" spans="5:6">
      <c r="E71" s="71" t="s">
        <v>108</v>
      </c>
      <c r="F71" s="71" t="s">
        <v>41</v>
      </c>
    </row>
    <row r="72" spans="5:6">
      <c r="E72" s="71" t="s">
        <v>216</v>
      </c>
      <c r="F72" s="71" t="s">
        <v>41</v>
      </c>
    </row>
    <row r="73" spans="5:6">
      <c r="E73" s="71" t="s">
        <v>109</v>
      </c>
      <c r="F73" s="71" t="s">
        <v>41</v>
      </c>
    </row>
    <row r="74" spans="5:6">
      <c r="E74" s="71" t="s">
        <v>217</v>
      </c>
      <c r="F74" s="71" t="s">
        <v>41</v>
      </c>
    </row>
    <row r="75" spans="5:6">
      <c r="E75" s="71" t="s">
        <v>218</v>
      </c>
      <c r="F75" s="71" t="s">
        <v>41</v>
      </c>
    </row>
    <row r="76" spans="5:6">
      <c r="E76" s="71" t="s">
        <v>121</v>
      </c>
      <c r="F76" s="71" t="s">
        <v>41</v>
      </c>
    </row>
    <row r="77" spans="5:6">
      <c r="E77" s="71" t="s">
        <v>122</v>
      </c>
      <c r="F77" s="71" t="s">
        <v>41</v>
      </c>
    </row>
    <row r="78" spans="5:6">
      <c r="E78" s="71" t="s">
        <v>75</v>
      </c>
      <c r="F78" s="71" t="s">
        <v>76</v>
      </c>
    </row>
    <row r="79" spans="5:6">
      <c r="E79" s="71" t="s">
        <v>99</v>
      </c>
      <c r="F79" s="71" t="s">
        <v>76</v>
      </c>
    </row>
    <row r="80" spans="5:6">
      <c r="E80" s="71" t="s">
        <v>100</v>
      </c>
      <c r="F80" s="71" t="s">
        <v>76</v>
      </c>
    </row>
    <row r="81" spans="5:6">
      <c r="E81" s="71" t="s">
        <v>103</v>
      </c>
      <c r="F81" s="71" t="s">
        <v>76</v>
      </c>
    </row>
    <row r="82" spans="5:6">
      <c r="E82" s="71" t="s">
        <v>104</v>
      </c>
      <c r="F82" s="71" t="s">
        <v>76</v>
      </c>
    </row>
    <row r="83" spans="5:6">
      <c r="E83" s="71" t="s">
        <v>105</v>
      </c>
      <c r="F83" s="71" t="s">
        <v>76</v>
      </c>
    </row>
    <row r="84" spans="5:6">
      <c r="E84" s="71" t="s">
        <v>219</v>
      </c>
      <c r="F84" s="71" t="s">
        <v>76</v>
      </c>
    </row>
    <row r="85" spans="5:6">
      <c r="E85" s="71" t="s">
        <v>180</v>
      </c>
      <c r="F85" s="71" t="s">
        <v>76</v>
      </c>
    </row>
    <row r="86" spans="5:6">
      <c r="E86" s="71" t="s">
        <v>220</v>
      </c>
      <c r="F86" s="71" t="s">
        <v>76</v>
      </c>
    </row>
    <row r="87" spans="5:6">
      <c r="E87" s="71" t="s">
        <v>117</v>
      </c>
      <c r="F87" s="71" t="s">
        <v>76</v>
      </c>
    </row>
    <row r="88" spans="5:6">
      <c r="E88" s="71" t="s">
        <v>203</v>
      </c>
      <c r="F88" s="71" t="s">
        <v>221</v>
      </c>
    </row>
    <row r="89" spans="5:6">
      <c r="E89" s="71" t="s">
        <v>69</v>
      </c>
      <c r="F89" s="71" t="s">
        <v>70</v>
      </c>
    </row>
    <row r="90" spans="5:6">
      <c r="E90" s="71" t="s">
        <v>222</v>
      </c>
      <c r="F90" s="71" t="s">
        <v>70</v>
      </c>
    </row>
    <row r="91" spans="5:6">
      <c r="E91" s="71" t="s">
        <v>82</v>
      </c>
      <c r="F91" s="71" t="s">
        <v>70</v>
      </c>
    </row>
    <row r="92" spans="5:6">
      <c r="E92" s="71" t="s">
        <v>85</v>
      </c>
      <c r="F92" s="71" t="s">
        <v>70</v>
      </c>
    </row>
    <row r="93" spans="5:6">
      <c r="E93" s="71" t="s">
        <v>87</v>
      </c>
      <c r="F93" s="71" t="s">
        <v>70</v>
      </c>
    </row>
    <row r="94" spans="5:6">
      <c r="E94" s="71" t="s">
        <v>88</v>
      </c>
      <c r="F94" s="71" t="s">
        <v>70</v>
      </c>
    </row>
    <row r="95" spans="5:6">
      <c r="E95" s="71" t="s">
        <v>223</v>
      </c>
      <c r="F95" s="71" t="s">
        <v>70</v>
      </c>
    </row>
    <row r="96" spans="5:6">
      <c r="E96" s="71" t="s">
        <v>89</v>
      </c>
      <c r="F96" s="71" t="s">
        <v>70</v>
      </c>
    </row>
    <row r="97" spans="5:6">
      <c r="E97" s="71" t="s">
        <v>96</v>
      </c>
      <c r="F97" s="71" t="s">
        <v>70</v>
      </c>
    </row>
    <row r="98" spans="5:6">
      <c r="E98" s="71" t="s">
        <v>196</v>
      </c>
      <c r="F98" s="71" t="s">
        <v>70</v>
      </c>
    </row>
    <row r="99" spans="5:6">
      <c r="E99" s="71" t="s">
        <v>224</v>
      </c>
      <c r="F99" s="71" t="s">
        <v>70</v>
      </c>
    </row>
    <row r="100" spans="5:6">
      <c r="E100" s="71" t="s">
        <v>110</v>
      </c>
      <c r="F100" s="71" t="s">
        <v>70</v>
      </c>
    </row>
    <row r="101" spans="5:6">
      <c r="E101" s="71" t="s">
        <v>54</v>
      </c>
      <c r="F101" s="71" t="s">
        <v>55</v>
      </c>
    </row>
    <row r="102" spans="5:6">
      <c r="E102" s="71" t="s">
        <v>91</v>
      </c>
      <c r="F102" s="71" t="s">
        <v>55</v>
      </c>
    </row>
    <row r="103" spans="5:6">
      <c r="E103" s="71" t="s">
        <v>225</v>
      </c>
      <c r="F103" s="71" t="s">
        <v>226</v>
      </c>
    </row>
    <row r="104" spans="5:6">
      <c r="E104" s="71" t="s">
        <v>227</v>
      </c>
      <c r="F104" s="71" t="s">
        <v>226</v>
      </c>
    </row>
    <row r="105" spans="5:6">
      <c r="E105" s="71" t="s">
        <v>228</v>
      </c>
      <c r="F105" s="71" t="s">
        <v>229</v>
      </c>
    </row>
    <row r="106" spans="5:6">
      <c r="E106" s="71" t="s">
        <v>230</v>
      </c>
      <c r="F106" s="71" t="s">
        <v>229</v>
      </c>
    </row>
    <row r="107" spans="5:6">
      <c r="E107" s="71" t="s">
        <v>67</v>
      </c>
      <c r="F107" s="71" t="s">
        <v>68</v>
      </c>
    </row>
    <row r="108" spans="5:6">
      <c r="E108" s="71" t="s">
        <v>81</v>
      </c>
      <c r="F108" s="71" t="s">
        <v>68</v>
      </c>
    </row>
    <row r="109" spans="5:6">
      <c r="E109" s="71" t="s">
        <v>90</v>
      </c>
      <c r="F109" s="71" t="s">
        <v>68</v>
      </c>
    </row>
    <row r="110" spans="5:6">
      <c r="E110" s="71" t="s">
        <v>93</v>
      </c>
      <c r="F110" s="71" t="s">
        <v>68</v>
      </c>
    </row>
    <row r="111" spans="5:6">
      <c r="E111" s="71" t="s">
        <v>94</v>
      </c>
      <c r="F111" s="71" t="s">
        <v>68</v>
      </c>
    </row>
    <row r="112" spans="5:6">
      <c r="E112" s="71" t="s">
        <v>95</v>
      </c>
      <c r="F112" s="71" t="s">
        <v>68</v>
      </c>
    </row>
    <row r="113" spans="5:6">
      <c r="E113" s="71" t="s">
        <v>38</v>
      </c>
      <c r="F113" s="71" t="s">
        <v>39</v>
      </c>
    </row>
    <row r="114" spans="5:6">
      <c r="E114" s="71" t="s">
        <v>42</v>
      </c>
      <c r="F114" s="71" t="s">
        <v>43</v>
      </c>
    </row>
    <row r="115" spans="5:6">
      <c r="E115" s="71" t="s">
        <v>179</v>
      </c>
      <c r="F115" s="71" t="s">
        <v>43</v>
      </c>
    </row>
    <row r="116" spans="5:6">
      <c r="E116" s="71" t="s">
        <v>102</v>
      </c>
      <c r="F116" s="71" t="s">
        <v>43</v>
      </c>
    </row>
    <row r="117" spans="5:6">
      <c r="E117" s="71" t="s">
        <v>231</v>
      </c>
      <c r="F117" s="71" t="s">
        <v>43</v>
      </c>
    </row>
    <row r="118" spans="5:6">
      <c r="E118" s="71" t="s">
        <v>114</v>
      </c>
      <c r="F118" s="71" t="s">
        <v>43</v>
      </c>
    </row>
    <row r="119" spans="5:6">
      <c r="E119" s="71" t="s">
        <v>118</v>
      </c>
      <c r="F119" s="71" t="s">
        <v>43</v>
      </c>
    </row>
    <row r="120" spans="5:6">
      <c r="E120" s="71" t="s">
        <v>119</v>
      </c>
      <c r="F120" s="71" t="s">
        <v>43</v>
      </c>
    </row>
    <row r="121" spans="5:6">
      <c r="E121" s="71" t="s">
        <v>198</v>
      </c>
      <c r="F121" s="71" t="s">
        <v>47</v>
      </c>
    </row>
  </sheetData>
  <sortState ref="E2:F75">
    <sortCondition ref="F2"/>
  </sortState>
  <printOptions horizontalCentered="1"/>
  <pageMargins left="0" right="0" top="0.75" bottom="0.75" header="0.3" footer="0.3"/>
  <pageSetup paperSize="5" orientation="landscape" r:id="rId1"/>
  <headerFooter>
    <oddFooter>&amp;LPrinted Date: &amp;D&amp;CPage &amp;P of &amp;N&amp;RFileName: &amp;F</oddFooter>
  </headerFooter>
</worksheet>
</file>

<file path=xl/worksheets/sheet5.xml><?xml version="1.0" encoding="utf-8"?>
<worksheet xmlns="http://schemas.openxmlformats.org/spreadsheetml/2006/main" xmlns:r="http://schemas.openxmlformats.org/officeDocument/2006/relationships">
  <sheetPr codeName="Sheet11"/>
  <dimension ref="A2:T59"/>
  <sheetViews>
    <sheetView showGridLines="0" workbookViewId="0">
      <selection activeCell="F23" sqref="F23"/>
    </sheetView>
  </sheetViews>
  <sheetFormatPr defaultColWidth="9.1796875" defaultRowHeight="14.5"/>
  <cols>
    <col min="1" max="1" width="3.7265625" style="25" customWidth="1"/>
    <col min="2" max="2" width="27.26953125" style="25" customWidth="1"/>
    <col min="3" max="3" width="25.26953125" style="25" bestFit="1" customWidth="1"/>
    <col min="4" max="4" width="14.1796875" style="25" bestFit="1" customWidth="1"/>
    <col min="5" max="5" width="23.26953125" style="25" customWidth="1"/>
    <col min="6" max="6" width="19.7265625" style="25" customWidth="1"/>
    <col min="7" max="7" width="26.1796875" style="25" customWidth="1"/>
    <col min="8" max="8" width="7.453125" style="25" bestFit="1" customWidth="1"/>
    <col min="9" max="14" width="5.7265625" style="25" bestFit="1" customWidth="1"/>
    <col min="15" max="15" width="8.26953125" style="25" bestFit="1" customWidth="1"/>
    <col min="16" max="16" width="8.7265625" style="25" bestFit="1" customWidth="1"/>
    <col min="17" max="17" width="9.54296875" style="25" bestFit="1" customWidth="1"/>
    <col min="18" max="18" width="5.81640625" style="25" bestFit="1" customWidth="1"/>
    <col min="19" max="20" width="11.1796875" style="25" bestFit="1" customWidth="1"/>
    <col min="21" max="16384" width="9.1796875" style="25"/>
  </cols>
  <sheetData>
    <row r="2" spans="1:19" ht="20" thickBot="1">
      <c r="B2" s="27" t="s">
        <v>172</v>
      </c>
    </row>
    <row r="3" spans="1:19" ht="15" thickTop="1">
      <c r="B3" s="28"/>
      <c r="C3" s="28"/>
      <c r="D3" s="28"/>
      <c r="E3" s="28"/>
      <c r="F3" s="28"/>
      <c r="G3" s="28"/>
      <c r="H3" s="28"/>
      <c r="I3" s="28"/>
      <c r="J3" s="28"/>
      <c r="K3" s="28"/>
      <c r="L3" s="28"/>
      <c r="M3" s="28"/>
      <c r="N3" s="28"/>
      <c r="O3" s="28"/>
      <c r="P3" s="28"/>
      <c r="Q3" s="28"/>
      <c r="R3" s="28"/>
      <c r="S3" s="28"/>
    </row>
    <row r="4" spans="1:19">
      <c r="B4" s="54" t="s">
        <v>162</v>
      </c>
      <c r="C4" s="69"/>
      <c r="E4" s="54"/>
      <c r="F4" s="68" t="s">
        <v>173</v>
      </c>
      <c r="G4" s="82" t="s">
        <v>233</v>
      </c>
    </row>
    <row r="5" spans="1:19">
      <c r="B5" s="54" t="s">
        <v>163</v>
      </c>
      <c r="C5" s="69"/>
    </row>
    <row r="8" spans="1:19" ht="20" thickBot="1">
      <c r="B8" s="27" t="s">
        <v>155</v>
      </c>
    </row>
    <row r="9" spans="1:19" ht="15" thickTop="1">
      <c r="B9" s="28"/>
      <c r="C9" s="28"/>
      <c r="D9" s="28"/>
      <c r="E9" s="28"/>
      <c r="F9" s="28"/>
      <c r="G9" s="28"/>
      <c r="H9" s="28"/>
      <c r="I9" s="28"/>
      <c r="J9" s="28"/>
      <c r="K9" s="28"/>
      <c r="L9" s="28"/>
      <c r="M9" s="28"/>
      <c r="N9" s="28"/>
      <c r="O9" s="28"/>
      <c r="P9" s="28"/>
      <c r="Q9" s="28"/>
      <c r="R9" s="28"/>
      <c r="S9" s="28"/>
    </row>
    <row r="11" spans="1:19" ht="29">
      <c r="A11" s="55"/>
      <c r="B11" s="56" t="s">
        <v>140</v>
      </c>
      <c r="C11" s="57" t="s">
        <v>39</v>
      </c>
      <c r="D11" s="57" t="s">
        <v>150</v>
      </c>
      <c r="E11" s="57" t="s">
        <v>151</v>
      </c>
      <c r="F11" s="57" t="s">
        <v>152</v>
      </c>
      <c r="G11" s="57" t="s">
        <v>153</v>
      </c>
      <c r="H11" s="32" t="s">
        <v>154</v>
      </c>
    </row>
    <row r="12" spans="1:19">
      <c r="B12" s="47" t="s">
        <v>234</v>
      </c>
      <c r="C12" s="48" t="s">
        <v>70</v>
      </c>
      <c r="D12" s="48">
        <v>1</v>
      </c>
      <c r="E12" s="48">
        <v>3</v>
      </c>
      <c r="F12" s="48">
        <v>3</v>
      </c>
      <c r="G12" s="49"/>
      <c r="H12" s="50"/>
    </row>
    <row r="13" spans="1:19">
      <c r="B13" s="47" t="s">
        <v>235</v>
      </c>
      <c r="C13" s="48" t="s">
        <v>70</v>
      </c>
      <c r="D13" s="48">
        <v>1</v>
      </c>
      <c r="E13" s="48">
        <v>3</v>
      </c>
      <c r="F13" s="48">
        <v>3</v>
      </c>
      <c r="G13" s="49"/>
      <c r="H13" s="50"/>
    </row>
    <row r="14" spans="1:19">
      <c r="B14" s="47" t="s">
        <v>236</v>
      </c>
      <c r="C14" s="48" t="s">
        <v>70</v>
      </c>
      <c r="D14" s="48">
        <v>1</v>
      </c>
      <c r="E14" s="48">
        <v>3</v>
      </c>
      <c r="F14" s="48">
        <v>3</v>
      </c>
      <c r="G14" s="49"/>
      <c r="H14" s="50"/>
    </row>
    <row r="15" spans="1:19">
      <c r="B15" s="47" t="s">
        <v>237</v>
      </c>
      <c r="C15" s="48" t="s">
        <v>70</v>
      </c>
      <c r="D15" s="48">
        <v>1</v>
      </c>
      <c r="E15" s="48">
        <v>3</v>
      </c>
      <c r="F15" s="48">
        <v>3</v>
      </c>
      <c r="G15" s="49"/>
      <c r="H15" s="50"/>
    </row>
    <row r="16" spans="1:19">
      <c r="B16" s="47" t="s">
        <v>238</v>
      </c>
      <c r="C16" s="48" t="s">
        <v>70</v>
      </c>
      <c r="D16" s="48">
        <v>1</v>
      </c>
      <c r="E16" s="48">
        <v>3</v>
      </c>
      <c r="F16" s="48">
        <v>3</v>
      </c>
      <c r="G16" s="49"/>
      <c r="H16" s="50"/>
    </row>
    <row r="17" spans="1:20" ht="29">
      <c r="B17" s="47" t="s">
        <v>239</v>
      </c>
      <c r="C17" s="48" t="s">
        <v>70</v>
      </c>
      <c r="D17" s="48">
        <v>1</v>
      </c>
      <c r="E17" s="48">
        <v>3</v>
      </c>
      <c r="F17" s="48">
        <v>3</v>
      </c>
      <c r="G17" s="49"/>
      <c r="H17" s="50"/>
    </row>
    <row r="18" spans="1:20" ht="29">
      <c r="B18" s="47" t="s">
        <v>240</v>
      </c>
      <c r="C18" s="48" t="s">
        <v>70</v>
      </c>
      <c r="D18" s="48">
        <v>1</v>
      </c>
      <c r="E18" s="48">
        <v>3</v>
      </c>
      <c r="F18" s="48">
        <v>3</v>
      </c>
      <c r="G18" s="49"/>
      <c r="H18" s="50"/>
    </row>
    <row r="19" spans="1:20">
      <c r="B19" s="47" t="s">
        <v>241</v>
      </c>
      <c r="C19" s="48" t="s">
        <v>70</v>
      </c>
      <c r="D19" s="48">
        <v>1</v>
      </c>
      <c r="E19" s="48">
        <v>1</v>
      </c>
      <c r="F19" s="48">
        <v>1</v>
      </c>
      <c r="G19" s="49"/>
      <c r="H19" s="50"/>
    </row>
    <row r="20" spans="1:20">
      <c r="B20" s="47" t="s">
        <v>242</v>
      </c>
      <c r="C20" s="48" t="s">
        <v>70</v>
      </c>
      <c r="D20" s="48">
        <v>1</v>
      </c>
      <c r="E20" s="48">
        <v>3</v>
      </c>
      <c r="F20" s="48">
        <v>3</v>
      </c>
      <c r="G20" s="49"/>
      <c r="H20" s="50"/>
    </row>
    <row r="21" spans="1:20">
      <c r="B21" s="47" t="s">
        <v>243</v>
      </c>
      <c r="C21" s="48" t="s">
        <v>70</v>
      </c>
      <c r="D21" s="48">
        <v>1</v>
      </c>
      <c r="E21" s="48">
        <v>3</v>
      </c>
      <c r="F21" s="48">
        <v>3</v>
      </c>
      <c r="G21" s="49"/>
      <c r="H21" s="50"/>
    </row>
    <row r="22" spans="1:20">
      <c r="B22" s="47" t="s">
        <v>244</v>
      </c>
      <c r="C22" s="48" t="s">
        <v>70</v>
      </c>
      <c r="D22" s="48">
        <v>1</v>
      </c>
      <c r="E22" s="48">
        <v>3</v>
      </c>
      <c r="F22" s="48">
        <v>3</v>
      </c>
      <c r="G22" s="49"/>
      <c r="H22" s="50"/>
    </row>
    <row r="23" spans="1:20">
      <c r="B23" s="84"/>
      <c r="C23" s="85"/>
      <c r="D23" s="85"/>
      <c r="E23" s="85"/>
      <c r="F23" s="85">
        <f>SUM(['# of Candidates per RFS])</f>
        <v>31</v>
      </c>
      <c r="G23" s="86"/>
      <c r="H23" s="87"/>
    </row>
    <row r="25" spans="1:20" ht="20" thickBot="1">
      <c r="B25" s="27" t="s">
        <v>138</v>
      </c>
    </row>
    <row r="26" spans="1:20" ht="15" thickTop="1">
      <c r="B26" s="28"/>
      <c r="C26" s="28"/>
      <c r="D26" s="28"/>
      <c r="E26" s="28"/>
      <c r="F26" s="28"/>
      <c r="G26" s="28"/>
      <c r="H26" s="28"/>
      <c r="I26" s="28"/>
      <c r="J26" s="28"/>
      <c r="K26" s="28"/>
      <c r="L26" s="28"/>
      <c r="M26" s="28"/>
      <c r="N26" s="28"/>
      <c r="O26" s="28"/>
      <c r="P26" s="28"/>
      <c r="Q26" s="28"/>
      <c r="R26" s="28"/>
      <c r="S26" s="28"/>
      <c r="T26" s="28"/>
    </row>
    <row r="28" spans="1:20" ht="29">
      <c r="A28" s="55"/>
      <c r="B28" s="56" t="s">
        <v>139</v>
      </c>
      <c r="C28" s="57" t="s">
        <v>140</v>
      </c>
      <c r="D28" s="57" t="s">
        <v>164</v>
      </c>
      <c r="E28" s="31" t="s">
        <v>165</v>
      </c>
      <c r="F28" s="57" t="s">
        <v>166</v>
      </c>
      <c r="G28" s="57" t="s">
        <v>39</v>
      </c>
      <c r="H28" s="57" t="s">
        <v>167</v>
      </c>
      <c r="I28" s="57" t="s">
        <v>141</v>
      </c>
      <c r="J28" s="57" t="s">
        <v>142</v>
      </c>
      <c r="K28" s="57" t="s">
        <v>143</v>
      </c>
      <c r="L28" s="57" t="s">
        <v>144</v>
      </c>
      <c r="M28" s="57" t="s">
        <v>145</v>
      </c>
      <c r="N28" s="57" t="s">
        <v>146</v>
      </c>
      <c r="O28" s="57" t="s">
        <v>195</v>
      </c>
      <c r="P28" s="57" t="s">
        <v>168</v>
      </c>
      <c r="Q28" s="57" t="s">
        <v>169</v>
      </c>
      <c r="R28" s="57" t="s">
        <v>147</v>
      </c>
      <c r="S28" s="57" t="s">
        <v>134</v>
      </c>
      <c r="T28" s="30" t="s">
        <v>170</v>
      </c>
    </row>
    <row r="29" spans="1:20" ht="29">
      <c r="B29" s="58" t="s">
        <v>233</v>
      </c>
      <c r="C29" s="59" t="s">
        <v>236</v>
      </c>
      <c r="D29" s="60">
        <v>1</v>
      </c>
      <c r="E29" s="60" t="s">
        <v>251</v>
      </c>
      <c r="F29" s="60" t="s">
        <v>196</v>
      </c>
      <c r="G29" s="61" t="s">
        <v>70</v>
      </c>
      <c r="H29" s="60">
        <v>91</v>
      </c>
      <c r="I29" s="61">
        <v>5</v>
      </c>
      <c r="J29" s="61">
        <v>5</v>
      </c>
      <c r="K29" s="61">
        <v>5</v>
      </c>
      <c r="L29" s="61">
        <v>4</v>
      </c>
      <c r="M29" s="61"/>
      <c r="N29" s="36"/>
      <c r="O29" s="61"/>
      <c r="P29" s="62">
        <v>4.75</v>
      </c>
      <c r="Q29" s="59"/>
      <c r="R29" s="59"/>
      <c r="S29" s="59"/>
      <c r="T29" s="63">
        <v>42592</v>
      </c>
    </row>
    <row r="30" spans="1:20" ht="29">
      <c r="B30" s="58" t="s">
        <v>233</v>
      </c>
      <c r="C30" s="59" t="s">
        <v>236</v>
      </c>
      <c r="D30" s="60">
        <v>1</v>
      </c>
      <c r="E30" s="60" t="s">
        <v>252</v>
      </c>
      <c r="F30" s="60" t="s">
        <v>196</v>
      </c>
      <c r="G30" s="61" t="s">
        <v>70</v>
      </c>
      <c r="H30" s="60">
        <v>91</v>
      </c>
      <c r="I30" s="61">
        <v>5</v>
      </c>
      <c r="J30" s="61">
        <v>5</v>
      </c>
      <c r="K30" s="61">
        <v>5</v>
      </c>
      <c r="L30" s="61">
        <v>4</v>
      </c>
      <c r="M30" s="61"/>
      <c r="N30" s="83"/>
      <c r="O30" s="61"/>
      <c r="P30" s="62">
        <v>4.75</v>
      </c>
      <c r="Q30" s="59"/>
      <c r="R30" s="59"/>
      <c r="S30" s="59"/>
      <c r="T30" s="63">
        <v>42592</v>
      </c>
    </row>
    <row r="31" spans="1:20" ht="29">
      <c r="B31" s="58" t="s">
        <v>233</v>
      </c>
      <c r="C31" s="59" t="s">
        <v>236</v>
      </c>
      <c r="D31" s="60">
        <v>1</v>
      </c>
      <c r="E31" s="60" t="s">
        <v>253</v>
      </c>
      <c r="F31" s="60" t="s">
        <v>196</v>
      </c>
      <c r="G31" s="61" t="s">
        <v>70</v>
      </c>
      <c r="H31" s="60">
        <v>91</v>
      </c>
      <c r="I31" s="61">
        <v>5</v>
      </c>
      <c r="J31" s="61">
        <v>5</v>
      </c>
      <c r="K31" s="61">
        <v>5</v>
      </c>
      <c r="L31" s="61">
        <v>4</v>
      </c>
      <c r="M31" s="61"/>
      <c r="N31" s="83"/>
      <c r="O31" s="61"/>
      <c r="P31" s="62">
        <v>4.75</v>
      </c>
      <c r="Q31" s="59"/>
      <c r="R31" s="59"/>
      <c r="S31" s="59"/>
      <c r="T31" s="63">
        <v>42592</v>
      </c>
    </row>
    <row r="32" spans="1:20" ht="29">
      <c r="B32" s="58" t="s">
        <v>233</v>
      </c>
      <c r="C32" s="59" t="s">
        <v>241</v>
      </c>
      <c r="D32" s="60">
        <v>1</v>
      </c>
      <c r="E32" s="60" t="s">
        <v>266</v>
      </c>
      <c r="F32" s="60" t="s">
        <v>196</v>
      </c>
      <c r="G32" s="61" t="s">
        <v>70</v>
      </c>
      <c r="H32" s="60">
        <v>91</v>
      </c>
      <c r="I32" s="61">
        <v>5</v>
      </c>
      <c r="J32" s="61">
        <v>5</v>
      </c>
      <c r="K32" s="61">
        <v>5</v>
      </c>
      <c r="L32" s="61">
        <v>4</v>
      </c>
      <c r="M32" s="61"/>
      <c r="N32" s="83"/>
      <c r="O32" s="61"/>
      <c r="P32" s="62">
        <v>4.75</v>
      </c>
      <c r="Q32" s="59"/>
      <c r="R32" s="59"/>
      <c r="S32" s="59"/>
      <c r="T32" s="63">
        <v>42592</v>
      </c>
    </row>
    <row r="33" spans="2:20" ht="29">
      <c r="B33" s="58" t="s">
        <v>233</v>
      </c>
      <c r="C33" s="59" t="s">
        <v>240</v>
      </c>
      <c r="D33" s="60">
        <v>1</v>
      </c>
      <c r="E33" s="60" t="s">
        <v>264</v>
      </c>
      <c r="F33" s="60" t="s">
        <v>196</v>
      </c>
      <c r="G33" s="61" t="s">
        <v>70</v>
      </c>
      <c r="H33" s="60">
        <v>86</v>
      </c>
      <c r="I33" s="61">
        <v>4</v>
      </c>
      <c r="J33" s="61">
        <v>5</v>
      </c>
      <c r="K33" s="61">
        <v>5</v>
      </c>
      <c r="L33" s="61">
        <v>4</v>
      </c>
      <c r="M33" s="61"/>
      <c r="N33" s="83"/>
      <c r="O33" s="61"/>
      <c r="P33" s="62">
        <v>4.5</v>
      </c>
      <c r="Q33" s="59"/>
      <c r="R33" s="59"/>
      <c r="S33" s="59"/>
      <c r="T33" s="63">
        <v>42592</v>
      </c>
    </row>
    <row r="34" spans="2:20" ht="29">
      <c r="B34" s="58" t="s">
        <v>233</v>
      </c>
      <c r="C34" s="59" t="s">
        <v>242</v>
      </c>
      <c r="D34" s="60">
        <v>1</v>
      </c>
      <c r="E34" s="60" t="s">
        <v>269</v>
      </c>
      <c r="F34" s="60" t="s">
        <v>196</v>
      </c>
      <c r="G34" s="61" t="s">
        <v>70</v>
      </c>
      <c r="H34" s="60">
        <v>85</v>
      </c>
      <c r="I34" s="61">
        <v>5</v>
      </c>
      <c r="J34" s="61">
        <v>4</v>
      </c>
      <c r="K34" s="61">
        <v>4</v>
      </c>
      <c r="L34" s="61">
        <v>5</v>
      </c>
      <c r="M34" s="61"/>
      <c r="N34" s="83"/>
      <c r="O34" s="61"/>
      <c r="P34" s="62">
        <v>4.5</v>
      </c>
      <c r="Q34" s="59"/>
      <c r="R34" s="59"/>
      <c r="S34" s="59"/>
      <c r="T34" s="63">
        <v>42592</v>
      </c>
    </row>
    <row r="35" spans="2:20" ht="29">
      <c r="B35" s="58" t="s">
        <v>233</v>
      </c>
      <c r="C35" s="59" t="s">
        <v>237</v>
      </c>
      <c r="D35" s="60">
        <v>1</v>
      </c>
      <c r="E35" s="60" t="s">
        <v>254</v>
      </c>
      <c r="F35" s="60" t="s">
        <v>196</v>
      </c>
      <c r="G35" s="61" t="s">
        <v>70</v>
      </c>
      <c r="H35" s="60">
        <v>82</v>
      </c>
      <c r="I35" s="61">
        <v>5</v>
      </c>
      <c r="J35" s="61">
        <v>4</v>
      </c>
      <c r="K35" s="61">
        <v>5</v>
      </c>
      <c r="L35" s="61">
        <v>3</v>
      </c>
      <c r="M35" s="61"/>
      <c r="N35" s="83"/>
      <c r="O35" s="61"/>
      <c r="P35" s="62">
        <v>4.25</v>
      </c>
      <c r="Q35" s="59"/>
      <c r="R35" s="59"/>
      <c r="S35" s="59"/>
      <c r="T35" s="63">
        <v>42592</v>
      </c>
    </row>
    <row r="36" spans="2:20" ht="29">
      <c r="B36" s="58" t="s">
        <v>233</v>
      </c>
      <c r="C36" s="59" t="s">
        <v>237</v>
      </c>
      <c r="D36" s="60">
        <v>1</v>
      </c>
      <c r="E36" s="60" t="s">
        <v>255</v>
      </c>
      <c r="F36" s="60" t="s">
        <v>196</v>
      </c>
      <c r="G36" s="61" t="s">
        <v>70</v>
      </c>
      <c r="H36" s="60">
        <v>82</v>
      </c>
      <c r="I36" s="61">
        <v>4</v>
      </c>
      <c r="J36" s="61">
        <v>5</v>
      </c>
      <c r="K36" s="61">
        <v>5</v>
      </c>
      <c r="L36" s="61">
        <v>3</v>
      </c>
      <c r="M36" s="61"/>
      <c r="N36" s="83"/>
      <c r="O36" s="61"/>
      <c r="P36" s="62">
        <v>4.25</v>
      </c>
      <c r="Q36" s="59"/>
      <c r="R36" s="59"/>
      <c r="S36" s="59"/>
      <c r="T36" s="63">
        <v>42592</v>
      </c>
    </row>
    <row r="37" spans="2:20" ht="29">
      <c r="B37" s="58" t="s">
        <v>233</v>
      </c>
      <c r="C37" s="59" t="s">
        <v>237</v>
      </c>
      <c r="D37" s="60">
        <v>1</v>
      </c>
      <c r="E37" s="60" t="s">
        <v>256</v>
      </c>
      <c r="F37" s="60" t="s">
        <v>196</v>
      </c>
      <c r="G37" s="61" t="s">
        <v>70</v>
      </c>
      <c r="H37" s="60">
        <v>82</v>
      </c>
      <c r="I37" s="61">
        <v>5</v>
      </c>
      <c r="J37" s="61">
        <v>4</v>
      </c>
      <c r="K37" s="61">
        <v>5</v>
      </c>
      <c r="L37" s="61">
        <v>3</v>
      </c>
      <c r="M37" s="61"/>
      <c r="N37" s="83"/>
      <c r="O37" s="61"/>
      <c r="P37" s="62">
        <v>4.25</v>
      </c>
      <c r="Q37" s="59"/>
      <c r="R37" s="59"/>
      <c r="S37" s="59"/>
      <c r="T37" s="63">
        <v>42592</v>
      </c>
    </row>
    <row r="38" spans="2:20" ht="29">
      <c r="B38" s="58" t="s">
        <v>233</v>
      </c>
      <c r="C38" s="59" t="s">
        <v>243</v>
      </c>
      <c r="D38" s="60">
        <v>1</v>
      </c>
      <c r="E38" s="60" t="s">
        <v>271</v>
      </c>
      <c r="F38" s="60" t="s">
        <v>196</v>
      </c>
      <c r="G38" s="61" t="s">
        <v>70</v>
      </c>
      <c r="H38" s="60">
        <v>82</v>
      </c>
      <c r="I38" s="61">
        <v>4</v>
      </c>
      <c r="J38" s="61">
        <v>5</v>
      </c>
      <c r="K38" s="61">
        <v>5</v>
      </c>
      <c r="L38" s="61">
        <v>3</v>
      </c>
      <c r="M38" s="61"/>
      <c r="N38" s="83"/>
      <c r="O38" s="61"/>
      <c r="P38" s="62">
        <v>4.25</v>
      </c>
      <c r="Q38" s="59"/>
      <c r="R38" s="59"/>
      <c r="S38" s="59"/>
      <c r="T38" s="63">
        <v>42592</v>
      </c>
    </row>
    <row r="39" spans="2:20" ht="29">
      <c r="B39" s="58" t="s">
        <v>233</v>
      </c>
      <c r="C39" s="59" t="s">
        <v>240</v>
      </c>
      <c r="D39" s="60">
        <v>1</v>
      </c>
      <c r="E39" s="60" t="s">
        <v>265</v>
      </c>
      <c r="F39" s="60" t="s">
        <v>196</v>
      </c>
      <c r="G39" s="61" t="s">
        <v>70</v>
      </c>
      <c r="H39" s="60">
        <v>81</v>
      </c>
      <c r="I39" s="61">
        <v>4</v>
      </c>
      <c r="J39" s="61">
        <v>4</v>
      </c>
      <c r="K39" s="61">
        <v>5</v>
      </c>
      <c r="L39" s="61">
        <v>4</v>
      </c>
      <c r="M39" s="61"/>
      <c r="N39" s="83"/>
      <c r="O39" s="61"/>
      <c r="P39" s="62">
        <v>4.25</v>
      </c>
      <c r="Q39" s="59"/>
      <c r="R39" s="59"/>
      <c r="S39" s="59"/>
      <c r="T39" s="63">
        <v>42592</v>
      </c>
    </row>
    <row r="40" spans="2:20" ht="29">
      <c r="B40" s="58" t="s">
        <v>233</v>
      </c>
      <c r="C40" s="59" t="s">
        <v>242</v>
      </c>
      <c r="D40" s="60">
        <v>1</v>
      </c>
      <c r="E40" s="60" t="s">
        <v>268</v>
      </c>
      <c r="F40" s="60" t="s">
        <v>196</v>
      </c>
      <c r="G40" s="61" t="s">
        <v>70</v>
      </c>
      <c r="H40" s="60">
        <v>80</v>
      </c>
      <c r="I40" s="61">
        <v>3</v>
      </c>
      <c r="J40" s="61">
        <v>4</v>
      </c>
      <c r="K40" s="61">
        <v>5</v>
      </c>
      <c r="L40" s="61">
        <v>5</v>
      </c>
      <c r="M40" s="61"/>
      <c r="N40" s="83"/>
      <c r="O40" s="61"/>
      <c r="P40" s="62">
        <v>4.25</v>
      </c>
      <c r="Q40" s="59"/>
      <c r="R40" s="59"/>
      <c r="S40" s="59"/>
      <c r="T40" s="63">
        <v>42592</v>
      </c>
    </row>
    <row r="41" spans="2:20" ht="29">
      <c r="B41" s="58" t="s">
        <v>233</v>
      </c>
      <c r="C41" s="59" t="s">
        <v>244</v>
      </c>
      <c r="D41" s="60">
        <v>1</v>
      </c>
      <c r="E41" s="60" t="s">
        <v>273</v>
      </c>
      <c r="F41" s="60" t="s">
        <v>196</v>
      </c>
      <c r="G41" s="61" t="s">
        <v>70</v>
      </c>
      <c r="H41" s="60">
        <v>80</v>
      </c>
      <c r="I41" s="61">
        <v>4</v>
      </c>
      <c r="J41" s="61">
        <v>4</v>
      </c>
      <c r="K41" s="61">
        <v>4</v>
      </c>
      <c r="L41" s="61">
        <v>5</v>
      </c>
      <c r="M41" s="61"/>
      <c r="N41" s="83"/>
      <c r="O41" s="61"/>
      <c r="P41" s="62">
        <v>4.25</v>
      </c>
      <c r="Q41" s="59"/>
      <c r="R41" s="59"/>
      <c r="S41" s="59"/>
      <c r="T41" s="63">
        <v>42592</v>
      </c>
    </row>
    <row r="42" spans="2:20" ht="29">
      <c r="B42" s="58" t="s">
        <v>233</v>
      </c>
      <c r="C42" s="59" t="s">
        <v>238</v>
      </c>
      <c r="D42" s="60">
        <v>1</v>
      </c>
      <c r="E42" s="60" t="s">
        <v>258</v>
      </c>
      <c r="F42" s="60" t="s">
        <v>196</v>
      </c>
      <c r="G42" s="61" t="s">
        <v>70</v>
      </c>
      <c r="H42" s="60">
        <v>79</v>
      </c>
      <c r="I42" s="61">
        <v>5</v>
      </c>
      <c r="J42" s="61">
        <v>5</v>
      </c>
      <c r="K42" s="61">
        <v>5</v>
      </c>
      <c r="L42" s="61">
        <v>1</v>
      </c>
      <c r="M42" s="61"/>
      <c r="N42" s="83"/>
      <c r="O42" s="61"/>
      <c r="P42" s="62">
        <v>4</v>
      </c>
      <c r="Q42" s="59"/>
      <c r="R42" s="59"/>
      <c r="S42" s="59"/>
      <c r="T42" s="63">
        <v>42592</v>
      </c>
    </row>
    <row r="43" spans="2:20" ht="29">
      <c r="B43" s="58" t="s">
        <v>233</v>
      </c>
      <c r="C43" s="59" t="s">
        <v>239</v>
      </c>
      <c r="D43" s="60">
        <v>1</v>
      </c>
      <c r="E43" s="60" t="s">
        <v>261</v>
      </c>
      <c r="F43" s="60" t="s">
        <v>196</v>
      </c>
      <c r="G43" s="61" t="s">
        <v>70</v>
      </c>
      <c r="H43" s="60">
        <v>78</v>
      </c>
      <c r="I43" s="61">
        <v>4</v>
      </c>
      <c r="J43" s="61">
        <v>5</v>
      </c>
      <c r="K43" s="61">
        <v>5</v>
      </c>
      <c r="L43" s="61">
        <v>2</v>
      </c>
      <c r="M43" s="61"/>
      <c r="N43" s="83"/>
      <c r="O43" s="61"/>
      <c r="P43" s="62">
        <v>4</v>
      </c>
      <c r="Q43" s="59"/>
      <c r="R43" s="59"/>
      <c r="S43" s="59"/>
      <c r="T43" s="63">
        <v>42592</v>
      </c>
    </row>
    <row r="44" spans="2:20" ht="29">
      <c r="B44" s="58" t="s">
        <v>233</v>
      </c>
      <c r="C44" s="59" t="s">
        <v>242</v>
      </c>
      <c r="D44" s="60">
        <v>1</v>
      </c>
      <c r="E44" s="60" t="s">
        <v>267</v>
      </c>
      <c r="F44" s="60" t="s">
        <v>196</v>
      </c>
      <c r="G44" s="61" t="s">
        <v>70</v>
      </c>
      <c r="H44" s="60">
        <v>77</v>
      </c>
      <c r="I44" s="61">
        <v>4</v>
      </c>
      <c r="J44" s="61">
        <v>4</v>
      </c>
      <c r="K44" s="61">
        <v>5</v>
      </c>
      <c r="L44" s="61">
        <v>3</v>
      </c>
      <c r="M44" s="61"/>
      <c r="N44" s="83"/>
      <c r="O44" s="61"/>
      <c r="P44" s="62">
        <v>4</v>
      </c>
      <c r="Q44" s="59"/>
      <c r="R44" s="59"/>
      <c r="S44" s="59"/>
      <c r="T44" s="63">
        <v>42592</v>
      </c>
    </row>
    <row r="45" spans="2:20" ht="29">
      <c r="B45" s="58" t="s">
        <v>233</v>
      </c>
      <c r="C45" s="59" t="s">
        <v>240</v>
      </c>
      <c r="D45" s="60">
        <v>1</v>
      </c>
      <c r="E45" s="60" t="s">
        <v>263</v>
      </c>
      <c r="F45" s="60" t="s">
        <v>196</v>
      </c>
      <c r="G45" s="61" t="s">
        <v>70</v>
      </c>
      <c r="H45" s="60">
        <v>76</v>
      </c>
      <c r="I45" s="61">
        <v>3</v>
      </c>
      <c r="J45" s="61">
        <v>4</v>
      </c>
      <c r="K45" s="61">
        <v>5</v>
      </c>
      <c r="L45" s="61">
        <v>4</v>
      </c>
      <c r="M45" s="61"/>
      <c r="N45" s="83"/>
      <c r="O45" s="61"/>
      <c r="P45" s="62">
        <v>4</v>
      </c>
      <c r="Q45" s="59"/>
      <c r="R45" s="59"/>
      <c r="S45" s="59"/>
      <c r="T45" s="63">
        <v>42592</v>
      </c>
    </row>
    <row r="46" spans="2:20" ht="29">
      <c r="B46" s="58" t="s">
        <v>233</v>
      </c>
      <c r="C46" s="59" t="s">
        <v>243</v>
      </c>
      <c r="D46" s="60">
        <v>1</v>
      </c>
      <c r="E46" s="60" t="s">
        <v>270</v>
      </c>
      <c r="F46" s="60" t="s">
        <v>196</v>
      </c>
      <c r="G46" s="61" t="s">
        <v>70</v>
      </c>
      <c r="H46" s="60">
        <v>73</v>
      </c>
      <c r="I46" s="61">
        <v>4</v>
      </c>
      <c r="J46" s="61">
        <v>5</v>
      </c>
      <c r="K46" s="61">
        <v>4</v>
      </c>
      <c r="L46" s="61">
        <v>2</v>
      </c>
      <c r="M46" s="61"/>
      <c r="N46" s="83"/>
      <c r="O46" s="61"/>
      <c r="P46" s="62">
        <v>3.75</v>
      </c>
      <c r="Q46" s="59"/>
      <c r="R46" s="59"/>
      <c r="S46" s="59"/>
      <c r="T46" s="63">
        <v>42592</v>
      </c>
    </row>
    <row r="47" spans="2:20" ht="29">
      <c r="B47" s="58" t="s">
        <v>233</v>
      </c>
      <c r="C47" s="59" t="s">
        <v>243</v>
      </c>
      <c r="D47" s="60">
        <v>1</v>
      </c>
      <c r="E47" s="60" t="s">
        <v>272</v>
      </c>
      <c r="F47" s="60" t="s">
        <v>196</v>
      </c>
      <c r="G47" s="61" t="s">
        <v>70</v>
      </c>
      <c r="H47" s="60">
        <v>73</v>
      </c>
      <c r="I47" s="61">
        <v>4</v>
      </c>
      <c r="J47" s="61">
        <v>4</v>
      </c>
      <c r="K47" s="61">
        <v>5</v>
      </c>
      <c r="L47" s="61">
        <v>2</v>
      </c>
      <c r="M47" s="61"/>
      <c r="N47" s="83"/>
      <c r="O47" s="61"/>
      <c r="P47" s="62">
        <v>3.75</v>
      </c>
      <c r="Q47" s="59"/>
      <c r="R47" s="59"/>
      <c r="S47" s="59"/>
      <c r="T47" s="63">
        <v>42592</v>
      </c>
    </row>
    <row r="48" spans="2:20" ht="29">
      <c r="B48" s="58" t="s">
        <v>233</v>
      </c>
      <c r="C48" s="59" t="s">
        <v>234</v>
      </c>
      <c r="D48" s="60">
        <v>1</v>
      </c>
      <c r="E48" s="60" t="s">
        <v>245</v>
      </c>
      <c r="F48" s="60" t="s">
        <v>196</v>
      </c>
      <c r="G48" s="61" t="s">
        <v>70</v>
      </c>
      <c r="H48" s="60">
        <v>72</v>
      </c>
      <c r="I48" s="61">
        <v>3</v>
      </c>
      <c r="J48" s="61">
        <v>4</v>
      </c>
      <c r="K48" s="61">
        <v>5</v>
      </c>
      <c r="L48" s="61">
        <v>3</v>
      </c>
      <c r="M48" s="61"/>
      <c r="N48" s="83"/>
      <c r="O48" s="61"/>
      <c r="P48" s="62">
        <v>3.75</v>
      </c>
      <c r="Q48" s="59"/>
      <c r="R48" s="59"/>
      <c r="S48" s="59"/>
      <c r="T48" s="63">
        <v>42592</v>
      </c>
    </row>
    <row r="49" spans="2:20" ht="29">
      <c r="B49" s="58" t="s">
        <v>233</v>
      </c>
      <c r="C49" s="59" t="s">
        <v>234</v>
      </c>
      <c r="D49" s="60">
        <v>1</v>
      </c>
      <c r="E49" s="60" t="s">
        <v>247</v>
      </c>
      <c r="F49" s="60" t="s">
        <v>196</v>
      </c>
      <c r="G49" s="61" t="s">
        <v>70</v>
      </c>
      <c r="H49" s="60">
        <v>72</v>
      </c>
      <c r="I49" s="61">
        <v>3</v>
      </c>
      <c r="J49" s="61">
        <v>4</v>
      </c>
      <c r="K49" s="61">
        <v>5</v>
      </c>
      <c r="L49" s="61">
        <v>3</v>
      </c>
      <c r="M49" s="61"/>
      <c r="N49" s="83"/>
      <c r="O49" s="61"/>
      <c r="P49" s="62">
        <v>3.75</v>
      </c>
      <c r="Q49" s="59"/>
      <c r="R49" s="59"/>
      <c r="S49" s="59"/>
      <c r="T49" s="63">
        <v>42592</v>
      </c>
    </row>
    <row r="50" spans="2:20" ht="29">
      <c r="B50" s="58" t="s">
        <v>233</v>
      </c>
      <c r="C50" s="59" t="s">
        <v>244</v>
      </c>
      <c r="D50" s="60">
        <v>1</v>
      </c>
      <c r="E50" s="60" t="s">
        <v>274</v>
      </c>
      <c r="F50" s="60" t="s">
        <v>196</v>
      </c>
      <c r="G50" s="61" t="s">
        <v>70</v>
      </c>
      <c r="H50" s="60">
        <v>72</v>
      </c>
      <c r="I50" s="61">
        <v>3</v>
      </c>
      <c r="J50" s="61">
        <v>5</v>
      </c>
      <c r="K50" s="61">
        <v>4</v>
      </c>
      <c r="L50" s="61">
        <v>3</v>
      </c>
      <c r="M50" s="61"/>
      <c r="N50" s="83"/>
      <c r="O50" s="61"/>
      <c r="P50" s="62">
        <v>3.75</v>
      </c>
      <c r="Q50" s="59"/>
      <c r="R50" s="59"/>
      <c r="S50" s="59"/>
      <c r="T50" s="63">
        <v>42592</v>
      </c>
    </row>
    <row r="51" spans="2:20" ht="29">
      <c r="B51" s="58" t="s">
        <v>233</v>
      </c>
      <c r="C51" s="59" t="s">
        <v>238</v>
      </c>
      <c r="D51" s="60">
        <v>1</v>
      </c>
      <c r="E51" s="60" t="s">
        <v>259</v>
      </c>
      <c r="F51" s="60" t="s">
        <v>196</v>
      </c>
      <c r="G51" s="61" t="s">
        <v>70</v>
      </c>
      <c r="H51" s="60">
        <v>71</v>
      </c>
      <c r="I51" s="61">
        <v>3</v>
      </c>
      <c r="J51" s="61">
        <v>4</v>
      </c>
      <c r="K51" s="61">
        <v>4</v>
      </c>
      <c r="L51" s="61">
        <v>4</v>
      </c>
      <c r="M51" s="61"/>
      <c r="N51" s="83"/>
      <c r="O51" s="61"/>
      <c r="P51" s="62">
        <v>3.75</v>
      </c>
      <c r="Q51" s="59"/>
      <c r="R51" s="59"/>
      <c r="S51" s="59"/>
      <c r="T51" s="63">
        <v>42592</v>
      </c>
    </row>
    <row r="52" spans="2:20" ht="29">
      <c r="B52" s="58" t="s">
        <v>233</v>
      </c>
      <c r="C52" s="59" t="s">
        <v>244</v>
      </c>
      <c r="D52" s="60">
        <v>1</v>
      </c>
      <c r="E52" s="60" t="s">
        <v>275</v>
      </c>
      <c r="F52" s="60" t="s">
        <v>196</v>
      </c>
      <c r="G52" s="61" t="s">
        <v>70</v>
      </c>
      <c r="H52" s="60">
        <v>66</v>
      </c>
      <c r="I52" s="61">
        <v>3</v>
      </c>
      <c r="J52" s="61">
        <v>3</v>
      </c>
      <c r="K52" s="61">
        <v>4</v>
      </c>
      <c r="L52" s="61">
        <v>4</v>
      </c>
      <c r="M52" s="61"/>
      <c r="N52" s="83"/>
      <c r="O52" s="61"/>
      <c r="P52" s="62">
        <v>3.5</v>
      </c>
      <c r="Q52" s="59"/>
      <c r="R52" s="59"/>
      <c r="S52" s="59"/>
      <c r="T52" s="63">
        <v>42592</v>
      </c>
    </row>
    <row r="53" spans="2:20" ht="29">
      <c r="B53" s="58" t="s">
        <v>233</v>
      </c>
      <c r="C53" s="59" t="s">
        <v>235</v>
      </c>
      <c r="D53" s="60">
        <v>1</v>
      </c>
      <c r="E53" s="60" t="s">
        <v>248</v>
      </c>
      <c r="F53" s="60" t="s">
        <v>196</v>
      </c>
      <c r="G53" s="61" t="s">
        <v>70</v>
      </c>
      <c r="H53" s="60">
        <v>63</v>
      </c>
      <c r="I53" s="61">
        <v>4</v>
      </c>
      <c r="J53" s="61">
        <v>3</v>
      </c>
      <c r="K53" s="61">
        <v>4</v>
      </c>
      <c r="L53" s="61">
        <v>2</v>
      </c>
      <c r="M53" s="61"/>
      <c r="N53" s="83"/>
      <c r="O53" s="61"/>
      <c r="P53" s="62">
        <v>3.25</v>
      </c>
      <c r="Q53" s="59"/>
      <c r="R53" s="59"/>
      <c r="S53" s="59"/>
      <c r="T53" s="63">
        <v>42592</v>
      </c>
    </row>
    <row r="54" spans="2:20" ht="29">
      <c r="B54" s="58" t="s">
        <v>233</v>
      </c>
      <c r="C54" s="59" t="s">
        <v>234</v>
      </c>
      <c r="D54" s="60">
        <v>1</v>
      </c>
      <c r="E54" s="60" t="s">
        <v>246</v>
      </c>
      <c r="F54" s="60" t="s">
        <v>196</v>
      </c>
      <c r="G54" s="61" t="s">
        <v>70</v>
      </c>
      <c r="H54" s="60">
        <v>62</v>
      </c>
      <c r="I54" s="61">
        <v>3</v>
      </c>
      <c r="J54" s="61">
        <v>3</v>
      </c>
      <c r="K54" s="61">
        <v>4</v>
      </c>
      <c r="L54" s="61">
        <v>3</v>
      </c>
      <c r="M54" s="61"/>
      <c r="N54" s="83"/>
      <c r="O54" s="61"/>
      <c r="P54" s="62">
        <v>3.25</v>
      </c>
      <c r="Q54" s="59"/>
      <c r="R54" s="59"/>
      <c r="S54" s="59"/>
      <c r="T54" s="63">
        <v>42592</v>
      </c>
    </row>
    <row r="55" spans="2:20" ht="29">
      <c r="B55" s="58" t="s">
        <v>233</v>
      </c>
      <c r="C55" s="59" t="s">
        <v>235</v>
      </c>
      <c r="D55" s="60">
        <v>1</v>
      </c>
      <c r="E55" s="60" t="s">
        <v>249</v>
      </c>
      <c r="F55" s="60" t="s">
        <v>196</v>
      </c>
      <c r="G55" s="61" t="s">
        <v>70</v>
      </c>
      <c r="H55" s="60">
        <v>62</v>
      </c>
      <c r="I55" s="61">
        <v>3</v>
      </c>
      <c r="J55" s="61">
        <v>3</v>
      </c>
      <c r="K55" s="61">
        <v>4</v>
      </c>
      <c r="L55" s="61">
        <v>3</v>
      </c>
      <c r="M55" s="61"/>
      <c r="N55" s="83"/>
      <c r="O55" s="61"/>
      <c r="P55" s="62">
        <v>3.25</v>
      </c>
      <c r="Q55" s="59"/>
      <c r="R55" s="59"/>
      <c r="S55" s="59"/>
      <c r="T55" s="63">
        <v>42592</v>
      </c>
    </row>
    <row r="56" spans="2:20" ht="29">
      <c r="B56" s="58" t="s">
        <v>233</v>
      </c>
      <c r="C56" s="59" t="s">
        <v>235</v>
      </c>
      <c r="D56" s="60">
        <v>1</v>
      </c>
      <c r="E56" s="60" t="s">
        <v>250</v>
      </c>
      <c r="F56" s="60" t="s">
        <v>196</v>
      </c>
      <c r="G56" s="61" t="s">
        <v>70</v>
      </c>
      <c r="H56" s="60">
        <v>62</v>
      </c>
      <c r="I56" s="61">
        <v>3</v>
      </c>
      <c r="J56" s="61">
        <v>3</v>
      </c>
      <c r="K56" s="61">
        <v>4</v>
      </c>
      <c r="L56" s="61">
        <v>3</v>
      </c>
      <c r="M56" s="61"/>
      <c r="N56" s="83"/>
      <c r="O56" s="61"/>
      <c r="P56" s="62">
        <v>3.25</v>
      </c>
      <c r="Q56" s="59"/>
      <c r="R56" s="59"/>
      <c r="S56" s="59"/>
      <c r="T56" s="63">
        <v>42592</v>
      </c>
    </row>
    <row r="57" spans="2:20" ht="29">
      <c r="B57" s="58" t="s">
        <v>233</v>
      </c>
      <c r="C57" s="59" t="s">
        <v>238</v>
      </c>
      <c r="D57" s="60">
        <v>1</v>
      </c>
      <c r="E57" s="60" t="s">
        <v>257</v>
      </c>
      <c r="F57" s="60" t="s">
        <v>196</v>
      </c>
      <c r="G57" s="61" t="s">
        <v>70</v>
      </c>
      <c r="H57" s="60">
        <v>61</v>
      </c>
      <c r="I57" s="61">
        <v>3</v>
      </c>
      <c r="J57" s="61">
        <v>3</v>
      </c>
      <c r="K57" s="61">
        <v>3</v>
      </c>
      <c r="L57" s="61">
        <v>4</v>
      </c>
      <c r="M57" s="61"/>
      <c r="N57" s="83"/>
      <c r="O57" s="61"/>
      <c r="P57" s="62">
        <v>3.25</v>
      </c>
      <c r="Q57" s="59"/>
      <c r="R57" s="59"/>
      <c r="S57" s="59"/>
      <c r="T57" s="63">
        <v>42592</v>
      </c>
    </row>
    <row r="58" spans="2:20" ht="29">
      <c r="B58" s="58" t="s">
        <v>233</v>
      </c>
      <c r="C58" s="59" t="s">
        <v>239</v>
      </c>
      <c r="D58" s="60">
        <v>1</v>
      </c>
      <c r="E58" s="60" t="s">
        <v>260</v>
      </c>
      <c r="F58" s="60" t="s">
        <v>196</v>
      </c>
      <c r="G58" s="61" t="s">
        <v>70</v>
      </c>
      <c r="H58" s="60">
        <v>57</v>
      </c>
      <c r="I58" s="61">
        <v>3</v>
      </c>
      <c r="J58" s="61">
        <v>3</v>
      </c>
      <c r="K58" s="61">
        <v>3</v>
      </c>
      <c r="L58" s="61">
        <v>3</v>
      </c>
      <c r="M58" s="61"/>
      <c r="N58" s="83"/>
      <c r="O58" s="61"/>
      <c r="P58" s="62">
        <v>3</v>
      </c>
      <c r="Q58" s="59"/>
      <c r="R58" s="59"/>
      <c r="S58" s="59"/>
      <c r="T58" s="63">
        <v>42592</v>
      </c>
    </row>
    <row r="59" spans="2:20" ht="29">
      <c r="B59" s="58" t="s">
        <v>233</v>
      </c>
      <c r="C59" s="59" t="s">
        <v>239</v>
      </c>
      <c r="D59" s="60">
        <v>1</v>
      </c>
      <c r="E59" s="60" t="s">
        <v>262</v>
      </c>
      <c r="F59" s="60" t="s">
        <v>196</v>
      </c>
      <c r="G59" s="61" t="s">
        <v>70</v>
      </c>
      <c r="H59" s="60">
        <v>57</v>
      </c>
      <c r="I59" s="61">
        <v>3</v>
      </c>
      <c r="J59" s="61">
        <v>3</v>
      </c>
      <c r="K59" s="61">
        <v>3</v>
      </c>
      <c r="L59" s="61">
        <v>3</v>
      </c>
      <c r="M59" s="61"/>
      <c r="N59" s="83"/>
      <c r="O59" s="61"/>
      <c r="P59" s="62">
        <v>3</v>
      </c>
      <c r="Q59" s="59"/>
      <c r="R59" s="59"/>
      <c r="S59" s="59"/>
      <c r="T59" s="63">
        <v>42592</v>
      </c>
    </row>
  </sheetData>
  <sheetProtection formatCells="0" formatColumns="0" selectLockedCells="1"/>
  <printOptions horizontalCentered="1"/>
  <pageMargins left="0" right="0" top="0.75" bottom="0.75" header="0.3" footer="0.3"/>
  <pageSetup paperSize="5" orientation="landscape" r:id="rId1"/>
  <headerFooter>
    <oddFooter>&amp;LPrinted Date: &amp;D&amp;CPage &amp;P of &amp;N&amp;RFileName: &amp;F</oddFooter>
  </headerFooter>
  <legacy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sheetPr codeName="Sheet2">
    <pageSetUpPr fitToPage="1"/>
  </sheetPr>
  <dimension ref="B2:T6"/>
  <sheetViews>
    <sheetView workbookViewId="0">
      <selection activeCell="B5" sqref="B5"/>
    </sheetView>
  </sheetViews>
  <sheetFormatPr defaultColWidth="9.1796875" defaultRowHeight="14.5"/>
  <cols>
    <col min="1" max="1" width="3.7265625" style="25" customWidth="1"/>
    <col min="2" max="2" width="27.26953125" style="25" customWidth="1"/>
    <col min="3" max="3" width="25.26953125" style="25" bestFit="1" customWidth="1"/>
    <col min="4" max="4" width="8.54296875" style="25" customWidth="1"/>
    <col min="5" max="5" width="23.26953125" style="25" customWidth="1"/>
    <col min="6" max="6" width="19.7265625" style="25" customWidth="1"/>
    <col min="7" max="7" width="26.1796875" style="25" customWidth="1"/>
    <col min="8" max="8" width="7.453125" style="25" bestFit="1" customWidth="1"/>
    <col min="9" max="13" width="5.7265625" style="25" bestFit="1" customWidth="1"/>
    <col min="14" max="14" width="5.7265625" style="25" customWidth="1"/>
    <col min="15" max="15" width="5.7265625" style="25" bestFit="1" customWidth="1"/>
    <col min="16" max="16" width="8.26953125" style="25" bestFit="1" customWidth="1"/>
    <col min="17" max="17" width="8.7265625" style="25" bestFit="1" customWidth="1"/>
    <col min="18" max="18" width="9.54296875" style="25" bestFit="1" customWidth="1"/>
    <col min="19" max="19" width="5.81640625" style="25" bestFit="1" customWidth="1"/>
    <col min="20" max="20" width="11.1796875" style="25" bestFit="1" customWidth="1"/>
    <col min="21" max="16384" width="9.1796875" style="25"/>
  </cols>
  <sheetData>
    <row r="2" spans="2:20" ht="20" thickBot="1">
      <c r="B2" s="27" t="s">
        <v>138</v>
      </c>
    </row>
    <row r="3" spans="2:20" ht="15" thickTop="1">
      <c r="B3" s="28"/>
      <c r="C3" s="28"/>
      <c r="D3" s="28"/>
      <c r="E3" s="28"/>
      <c r="F3" s="28"/>
      <c r="G3" s="28"/>
      <c r="H3" s="28"/>
      <c r="I3" s="28"/>
      <c r="J3" s="28"/>
      <c r="K3" s="28"/>
      <c r="L3" s="28"/>
      <c r="M3" s="28"/>
      <c r="N3" s="28"/>
      <c r="O3" s="28"/>
      <c r="P3" s="28"/>
      <c r="Q3" s="28"/>
      <c r="R3" s="28"/>
      <c r="S3" s="28"/>
      <c r="T3" s="28"/>
    </row>
    <row r="5" spans="2:20" ht="29">
      <c r="B5" s="29" t="s">
        <v>139</v>
      </c>
      <c r="C5" s="30" t="s">
        <v>156</v>
      </c>
      <c r="D5" s="30" t="s">
        <v>149</v>
      </c>
      <c r="E5" s="31" t="s">
        <v>157</v>
      </c>
      <c r="F5" s="30" t="s">
        <v>158</v>
      </c>
      <c r="G5" s="30" t="s">
        <v>39</v>
      </c>
      <c r="H5" s="30" t="s">
        <v>148</v>
      </c>
      <c r="I5" s="30" t="s">
        <v>141</v>
      </c>
      <c r="J5" s="30" t="s">
        <v>142</v>
      </c>
      <c r="K5" s="30" t="s">
        <v>143</v>
      </c>
      <c r="L5" s="30" t="s">
        <v>144</v>
      </c>
      <c r="M5" s="30" t="s">
        <v>145</v>
      </c>
      <c r="N5" s="30" t="s">
        <v>146</v>
      </c>
      <c r="O5" s="30" t="s">
        <v>195</v>
      </c>
      <c r="P5" s="30" t="s">
        <v>159</v>
      </c>
      <c r="Q5" s="30" t="s">
        <v>160</v>
      </c>
      <c r="R5" s="30" t="s">
        <v>147</v>
      </c>
      <c r="S5" s="30" t="s">
        <v>134</v>
      </c>
      <c r="T5" s="30" t="s">
        <v>161</v>
      </c>
    </row>
    <row r="6" spans="2:20">
      <c r="B6" s="33"/>
      <c r="C6" s="34"/>
      <c r="D6" s="35"/>
      <c r="E6" s="35"/>
      <c r="F6" s="35"/>
      <c r="G6" s="36"/>
      <c r="H6" s="35"/>
      <c r="I6" s="36"/>
      <c r="J6" s="36"/>
      <c r="K6" s="36"/>
      <c r="L6" s="36"/>
      <c r="M6" s="36"/>
      <c r="N6" s="36"/>
      <c r="O6" s="36"/>
      <c r="P6" s="37"/>
      <c r="Q6" s="34"/>
      <c r="R6" s="34"/>
      <c r="S6" s="34"/>
      <c r="T6" s="38"/>
    </row>
  </sheetData>
  <sheetProtection password="CCAC" sheet="1" objects="1" scenarios="1" formatCells="0" formatColumns="0" selectLockedCells="1"/>
  <printOptions horizontalCentered="1"/>
  <pageMargins left="0" right="0" top="0.74803149606299213" bottom="0.74803149606299213" header="0.31496062992125984" footer="0.31496062992125984"/>
  <pageSetup paperSize="5" scale="79" fitToHeight="0" orientation="landscape" r:id="rId1"/>
  <headerFooter>
    <oddFooter>&amp;LPrinted Date: &amp;D&amp;CPage &amp;P of &amp;N&amp;RFileName: &amp;F</oddFooter>
  </headerFooter>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7">
    <pageSetUpPr fitToPage="1"/>
  </sheetPr>
  <dimension ref="B2:S33"/>
  <sheetViews>
    <sheetView zoomScaleNormal="100" workbookViewId="0">
      <selection activeCell="C23" sqref="C23"/>
    </sheetView>
  </sheetViews>
  <sheetFormatPr defaultColWidth="9.1796875" defaultRowHeight="14.5"/>
  <cols>
    <col min="1" max="1" width="3.7265625" style="2" customWidth="1"/>
    <col min="2" max="2" width="16.7265625" style="1" bestFit="1" customWidth="1"/>
    <col min="3" max="3" width="41.453125" style="2" customWidth="1"/>
    <col min="4" max="4" width="9" style="19" bestFit="1" customWidth="1"/>
    <col min="5" max="5" width="18.81640625" style="2" bestFit="1" customWidth="1"/>
    <col min="6" max="6" width="22.81640625" style="2" bestFit="1" customWidth="1"/>
    <col min="7" max="7" width="60" style="2" customWidth="1"/>
    <col min="8" max="8" width="9.1796875" style="2"/>
    <col min="9" max="9" width="9.1796875" style="2" hidden="1" customWidth="1"/>
    <col min="10" max="10" width="15.1796875" style="2" hidden="1" customWidth="1"/>
    <col min="11" max="11" width="12.1796875" style="2" hidden="1" customWidth="1"/>
    <col min="12" max="12" width="20.81640625" style="2" hidden="1" customWidth="1"/>
    <col min="13" max="13" width="9.1796875" style="2" hidden="1" customWidth="1"/>
    <col min="14" max="15" width="16.1796875" style="2" hidden="1" customWidth="1"/>
    <col min="16" max="19" width="9.1796875" style="2" hidden="1" customWidth="1"/>
    <col min="20" max="16384" width="9.1796875" style="2"/>
  </cols>
  <sheetData>
    <row r="2" spans="2:16" ht="26">
      <c r="B2" s="23" t="s">
        <v>37</v>
      </c>
    </row>
    <row r="3" spans="2:16">
      <c r="B3" s="26" t="s">
        <v>14</v>
      </c>
    </row>
    <row r="4" spans="2:16">
      <c r="B4" s="26" t="s">
        <v>16</v>
      </c>
      <c r="J4" s="1" t="s">
        <v>124</v>
      </c>
      <c r="K4" s="2" t="str">
        <f>G12&amp; " " &amp;G13</f>
        <v xml:space="preserve"> </v>
      </c>
    </row>
    <row r="5" spans="2:16">
      <c r="B5" s="2" t="s">
        <v>15</v>
      </c>
      <c r="J5" s="24" t="s">
        <v>125</v>
      </c>
      <c r="K5" s="25" t="s">
        <v>126</v>
      </c>
    </row>
    <row r="6" spans="2:16">
      <c r="B6" s="3" t="s">
        <v>36</v>
      </c>
      <c r="J6" s="24" t="s">
        <v>127</v>
      </c>
      <c r="K6" s="25" t="s">
        <v>13</v>
      </c>
    </row>
    <row r="7" spans="2:16">
      <c r="B7" s="3"/>
      <c r="J7" s="24" t="s">
        <v>128</v>
      </c>
      <c r="K7" s="2" t="str">
        <f>C11&amp;C12&amp;C13&amp;G12&amp;G13</f>
        <v/>
      </c>
    </row>
    <row r="8" spans="2:16" ht="15" thickBot="1">
      <c r="B8" s="3"/>
    </row>
    <row r="9" spans="2:16" ht="31">
      <c r="B9" s="88" t="s">
        <v>13</v>
      </c>
      <c r="C9" s="89"/>
      <c r="D9" s="89"/>
      <c r="E9" s="89"/>
      <c r="F9" s="89"/>
      <c r="G9" s="90"/>
      <c r="K9" s="2" t="s">
        <v>17</v>
      </c>
      <c r="M9" s="2" t="s">
        <v>17</v>
      </c>
      <c r="N9" s="2" t="s">
        <v>18</v>
      </c>
      <c r="P9" s="2" t="s">
        <v>19</v>
      </c>
    </row>
    <row r="10" spans="2:16" ht="15.75" customHeight="1">
      <c r="B10" s="9"/>
      <c r="C10" s="10"/>
      <c r="D10" s="20"/>
      <c r="E10" s="10"/>
      <c r="F10" s="10"/>
      <c r="G10" s="11"/>
      <c r="J10" s="2" t="s">
        <v>0</v>
      </c>
      <c r="K10" s="2" t="b">
        <f>IF(C11&lt;&gt;"",TRUE,FALSE)</f>
        <v>0</v>
      </c>
      <c r="L10" s="2" t="s">
        <v>3</v>
      </c>
      <c r="M10" s="2" t="b">
        <f>IF(G11&lt;&gt;"",TRUE,FALSE)</f>
        <v>0</v>
      </c>
      <c r="N10" s="2" t="b">
        <f t="array" ref="N10">IF(SUM(LEN(C20:D25),LEN(G12:G13),LEN(C13))&gt;0, TRUE,FALSE)</f>
        <v>0</v>
      </c>
      <c r="P10" s="2" t="b">
        <f>IF(OR(P20:P25),TRUE,FALSE)</f>
        <v>0</v>
      </c>
    </row>
    <row r="11" spans="2:16" ht="15.5">
      <c r="B11" s="12" t="s">
        <v>0</v>
      </c>
      <c r="C11" s="18"/>
      <c r="D11" s="21"/>
      <c r="E11" s="13"/>
      <c r="F11" s="14" t="s">
        <v>3</v>
      </c>
      <c r="G11" s="51"/>
      <c r="J11" s="2" t="s">
        <v>2</v>
      </c>
      <c r="K11" s="2" t="b">
        <f>IF(C12&lt;&gt;"",TRUE,FALSE)</f>
        <v>0</v>
      </c>
      <c r="L11" s="2" t="s">
        <v>4</v>
      </c>
      <c r="M11" s="2" t="b">
        <v>0</v>
      </c>
    </row>
    <row r="12" spans="2:16" ht="15.5">
      <c r="B12" s="12" t="s">
        <v>2</v>
      </c>
      <c r="C12" s="18"/>
      <c r="D12" s="21"/>
      <c r="E12" s="13"/>
      <c r="F12" s="14" t="s">
        <v>11</v>
      </c>
      <c r="G12" s="52"/>
      <c r="J12" s="2" t="s">
        <v>1</v>
      </c>
      <c r="K12" s="2" t="b">
        <f>IF(C13&lt;&gt;"",TRUE,FALSE)</f>
        <v>0</v>
      </c>
      <c r="L12" s="2" t="s">
        <v>11</v>
      </c>
      <c r="M12" s="2" t="b">
        <f>IF(G12&lt;&gt;"",TRUE,FALSE)</f>
        <v>0</v>
      </c>
      <c r="N12" s="2" t="s">
        <v>20</v>
      </c>
    </row>
    <row r="13" spans="2:16" ht="15.5">
      <c r="B13" s="12" t="s">
        <v>1</v>
      </c>
      <c r="C13" s="15"/>
      <c r="D13" s="21"/>
      <c r="E13" s="13"/>
      <c r="F13" s="14" t="s">
        <v>12</v>
      </c>
      <c r="G13" s="52"/>
      <c r="L13" s="2" t="s">
        <v>12</v>
      </c>
      <c r="M13" s="2" t="b">
        <f>IF(G13&lt;&gt;"",TRUE,FALSE)</f>
        <v>0</v>
      </c>
      <c r="N13" s="2" t="b">
        <f>IF(OR(K12,M12:M13),TRUE, FALSE)</f>
        <v>0</v>
      </c>
    </row>
    <row r="14" spans="2:16" ht="15.5">
      <c r="B14" s="12" t="s">
        <v>23</v>
      </c>
      <c r="C14" s="16"/>
      <c r="D14" s="21"/>
      <c r="E14" s="13"/>
      <c r="F14" s="14" t="s">
        <v>31</v>
      </c>
      <c r="G14" s="53" t="str">
        <f t="array" ref="G14">IF(SUM(LEN(R20:R25))&gt;0,SUMPRODUCT(D20:D25,R20:R25),"")</f>
        <v/>
      </c>
      <c r="J14" s="2" t="s">
        <v>171</v>
      </c>
      <c r="K14" s="65"/>
      <c r="N14" s="2" t="b">
        <f>IF(G11&lt;&gt;"",TRUE,FALSE)</f>
        <v>0</v>
      </c>
    </row>
    <row r="15" spans="2:16" ht="15.5">
      <c r="B15" s="12" t="s">
        <v>24</v>
      </c>
      <c r="C15" s="16"/>
      <c r="D15" s="21"/>
      <c r="E15" s="13"/>
      <c r="F15" s="14" t="s">
        <v>35</v>
      </c>
      <c r="G15" s="53" t="str">
        <f t="array" ref="G15">IF(SUM(LEN(R20:R25))&gt;0,ROUND(AVERAGE(R20:R25),2),"")</f>
        <v/>
      </c>
    </row>
    <row r="16" spans="2:16" ht="15.5">
      <c r="B16" s="12" t="s">
        <v>25</v>
      </c>
      <c r="C16" s="16"/>
      <c r="D16" s="21"/>
      <c r="E16" s="13"/>
      <c r="F16" s="14" t="s">
        <v>123</v>
      </c>
      <c r="G16" s="53" t="str">
        <f>IF(G11&lt;&gt;"",VLOOKUP(G11,setup!E3:F78,2,FALSE),"")</f>
        <v/>
      </c>
      <c r="J16" s="2" t="s">
        <v>135</v>
      </c>
      <c r="K16" s="2" t="s">
        <v>136</v>
      </c>
      <c r="L16" s="2" t="s">
        <v>137</v>
      </c>
    </row>
    <row r="17" spans="2:18" ht="15.5">
      <c r="B17" s="12" t="s">
        <v>4</v>
      </c>
      <c r="C17" s="16"/>
      <c r="D17" s="21"/>
      <c r="E17" s="13"/>
      <c r="F17" s="14" t="s">
        <v>133</v>
      </c>
      <c r="G17" s="64" t="str">
        <f>IF(K14&lt;&gt;"",K14,"")</f>
        <v/>
      </c>
      <c r="J17" s="2" t="str">
        <f>IF(G17&lt;&gt;"",YEAR(G17),"")</f>
        <v/>
      </c>
      <c r="K17" s="2" t="str">
        <f>IF(G17&lt;&gt;"",MONTH(G17),"")</f>
        <v/>
      </c>
      <c r="L17" s="2" t="str">
        <f>IF(G17&lt;&gt;"",CHOOSE(MONTH(G17),1,1,1,2,2,2,3,3,3,4,4,4),"")</f>
        <v/>
      </c>
    </row>
    <row r="18" spans="2:18" ht="15" thickBot="1">
      <c r="B18" s="43"/>
      <c r="C18" s="44"/>
      <c r="D18" s="45"/>
      <c r="E18" s="44"/>
      <c r="F18" s="44"/>
      <c r="G18" s="46"/>
    </row>
    <row r="19" spans="2:18">
      <c r="B19" s="4" t="s">
        <v>9</v>
      </c>
      <c r="C19" s="5" t="s">
        <v>10</v>
      </c>
      <c r="D19" s="22" t="s">
        <v>7</v>
      </c>
      <c r="E19" s="5" t="s">
        <v>5</v>
      </c>
      <c r="F19" s="5" t="s">
        <v>6</v>
      </c>
      <c r="G19" s="6" t="s">
        <v>8</v>
      </c>
      <c r="J19" s="2" t="s">
        <v>10</v>
      </c>
      <c r="K19" s="2" t="s">
        <v>5</v>
      </c>
      <c r="L19" s="2" t="s">
        <v>6</v>
      </c>
      <c r="M19" s="2" t="s">
        <v>7</v>
      </c>
      <c r="N19" s="2" t="s">
        <v>132</v>
      </c>
      <c r="O19" s="2" t="s">
        <v>131</v>
      </c>
      <c r="P19" s="2" t="s">
        <v>129</v>
      </c>
      <c r="Q19" s="2" t="s">
        <v>130</v>
      </c>
      <c r="R19" s="2" t="s">
        <v>34</v>
      </c>
    </row>
    <row r="20" spans="2:18">
      <c r="B20" s="7">
        <v>1</v>
      </c>
      <c r="C20" s="18"/>
      <c r="D20" s="39"/>
      <c r="E20" s="16"/>
      <c r="F20" s="16"/>
      <c r="G20" s="66"/>
      <c r="J20" s="2" t="b">
        <f t="shared" ref="J20:J25" si="0">IF(C20&lt;&gt;"",TRUE,FALSE)</f>
        <v>0</v>
      </c>
      <c r="K20" s="2" t="b">
        <f t="shared" ref="K20:L25" si="1">IF(E20&lt;&gt;"",TRUE,FALSE)</f>
        <v>0</v>
      </c>
      <c r="L20" s="2" t="b">
        <f t="shared" si="1"/>
        <v>0</v>
      </c>
      <c r="M20" s="2" t="b">
        <f t="shared" ref="M20:M25" si="2">IF(D20&lt;&gt;"",TRUE,FALSE)</f>
        <v>0</v>
      </c>
      <c r="N20" s="2" t="b">
        <f t="array" ref="N20">IF(SUM(LEN(C20:G20))&gt;0,TRUE,FALSE)</f>
        <v>0</v>
      </c>
      <c r="O20" s="2" t="b">
        <f t="array" ref="O20">IF(SUM(LEN(C21:$D$25))&gt;0,TRUE,FALSE)</f>
        <v>0</v>
      </c>
      <c r="P20" s="2" t="b">
        <f>IF(OR(AND(C11&lt;&gt;"",C12&lt;&gt;"",G11&lt;&gt;"",C13=""),O20),TRUE,FALSE)</f>
        <v>0</v>
      </c>
      <c r="Q20" s="2" t="b">
        <f>IF(AND(N20,$C$13&lt;&gt;""),TRUE,FALSE)</f>
        <v>0</v>
      </c>
      <c r="R20" s="2" t="str">
        <f>IF(F20&lt;&gt;"",VLOOKUP(F20,setup!$A$2:$B$6,2,FALSE),"")</f>
        <v/>
      </c>
    </row>
    <row r="21" spans="2:18">
      <c r="B21" s="7">
        <v>2</v>
      </c>
      <c r="C21" s="18"/>
      <c r="D21" s="39"/>
      <c r="E21" s="16"/>
      <c r="F21" s="16"/>
      <c r="G21" s="66"/>
      <c r="J21" s="2" t="b">
        <f t="shared" si="0"/>
        <v>0</v>
      </c>
      <c r="K21" s="2" t="b">
        <f t="shared" si="1"/>
        <v>0</v>
      </c>
      <c r="L21" s="2" t="b">
        <f t="shared" si="1"/>
        <v>0</v>
      </c>
      <c r="M21" s="2" t="b">
        <f t="shared" si="2"/>
        <v>0</v>
      </c>
      <c r="N21" s="2" t="b">
        <f t="array" ref="N21">IF(SUM(LEN(C21:G21))&gt;0,TRUE,FALSE)</f>
        <v>0</v>
      </c>
      <c r="O21" s="2" t="b">
        <f t="array" ref="O21">IF(SUM(LEN(C22:$D$25))&gt;0,TRUE,FALSE)</f>
        <v>0</v>
      </c>
      <c r="P21" s="2" t="b">
        <f>IF(OR(N21,O21),TRUE,FALSE)</f>
        <v>0</v>
      </c>
      <c r="Q21" s="2" t="b">
        <f t="shared" ref="Q21:Q25" si="3">IF(AND(N21,$C$13&lt;&gt;""),TRUE,FALSE)</f>
        <v>0</v>
      </c>
      <c r="R21" s="2" t="str">
        <f>IF(F21&lt;&gt;"",VLOOKUP(F21,setup!$A$2:$B$6,2,FALSE),"")</f>
        <v/>
      </c>
    </row>
    <row r="22" spans="2:18">
      <c r="B22" s="7">
        <v>3</v>
      </c>
      <c r="C22" s="18"/>
      <c r="D22" s="39"/>
      <c r="E22" s="16"/>
      <c r="F22" s="16"/>
      <c r="G22" s="66"/>
      <c r="J22" s="2" t="b">
        <f t="shared" si="0"/>
        <v>0</v>
      </c>
      <c r="K22" s="2" t="b">
        <f t="shared" si="1"/>
        <v>0</v>
      </c>
      <c r="L22" s="2" t="b">
        <f t="shared" si="1"/>
        <v>0</v>
      </c>
      <c r="M22" s="2" t="b">
        <f t="shared" si="2"/>
        <v>0</v>
      </c>
      <c r="N22" s="2" t="b">
        <f t="array" ref="N22">IF(SUM(LEN(C22:G22))&gt;0,TRUE,FALSE)</f>
        <v>0</v>
      </c>
      <c r="O22" s="2" t="b">
        <f t="array" ref="O22">IF(SUM(LEN(C23:$D$25))&gt;0,TRUE,FALSE)</f>
        <v>0</v>
      </c>
      <c r="P22" s="2" t="b">
        <f t="shared" ref="P22:P25" si="4">IF(OR(N22,O22),TRUE,FALSE)</f>
        <v>0</v>
      </c>
      <c r="Q22" s="2" t="b">
        <f t="shared" si="3"/>
        <v>0</v>
      </c>
      <c r="R22" s="2" t="str">
        <f>IF(F22&lt;&gt;"",VLOOKUP(F22,setup!$A$2:$B$6,2,FALSE),"")</f>
        <v/>
      </c>
    </row>
    <row r="23" spans="2:18">
      <c r="B23" s="7">
        <v>4</v>
      </c>
      <c r="C23" s="18"/>
      <c r="D23" s="39"/>
      <c r="E23" s="16"/>
      <c r="F23" s="16"/>
      <c r="G23" s="66"/>
      <c r="J23" s="2" t="b">
        <f t="shared" si="0"/>
        <v>0</v>
      </c>
      <c r="K23" s="2" t="b">
        <f t="shared" si="1"/>
        <v>0</v>
      </c>
      <c r="L23" s="2" t="b">
        <f t="shared" si="1"/>
        <v>0</v>
      </c>
      <c r="M23" s="2" t="b">
        <f t="shared" si="2"/>
        <v>0</v>
      </c>
      <c r="N23" s="2" t="b">
        <f t="array" ref="N23">IF(SUM(LEN(C23:G23))&gt;0,TRUE,FALSE)</f>
        <v>0</v>
      </c>
      <c r="O23" s="2" t="b">
        <f t="array" ref="O23">IF(SUM(LEN(C24:$D$25))&gt;0,TRUE,FALSE)</f>
        <v>0</v>
      </c>
      <c r="P23" s="2" t="b">
        <f t="shared" si="4"/>
        <v>0</v>
      </c>
      <c r="Q23" s="2" t="b">
        <f t="shared" si="3"/>
        <v>0</v>
      </c>
      <c r="R23" s="2" t="str">
        <f>IF(F23&lt;&gt;"",VLOOKUP(F23,setup!$A$2:$B$6,2,FALSE),"")</f>
        <v/>
      </c>
    </row>
    <row r="24" spans="2:18">
      <c r="B24" s="7">
        <v>5</v>
      </c>
      <c r="C24" s="18"/>
      <c r="D24" s="39"/>
      <c r="E24" s="16"/>
      <c r="F24" s="16"/>
      <c r="G24" s="66"/>
      <c r="J24" s="2" t="b">
        <f t="shared" si="0"/>
        <v>0</v>
      </c>
      <c r="K24" s="2" t="b">
        <f t="shared" si="1"/>
        <v>0</v>
      </c>
      <c r="L24" s="2" t="b">
        <f t="shared" si="1"/>
        <v>0</v>
      </c>
      <c r="M24" s="2" t="b">
        <f t="shared" si="2"/>
        <v>0</v>
      </c>
      <c r="N24" s="2" t="b">
        <f t="array" ref="N24">IF(SUM(LEN(C24:G24))&gt;0,TRUE,FALSE)</f>
        <v>0</v>
      </c>
      <c r="O24" s="2" t="b">
        <f t="array" ref="O24">IF(SUM(LEN(C25:$D$25))&gt;0,TRUE,FALSE)</f>
        <v>0</v>
      </c>
      <c r="P24" s="2" t="b">
        <f t="shared" si="4"/>
        <v>0</v>
      </c>
      <c r="Q24" s="2" t="b">
        <f t="shared" si="3"/>
        <v>0</v>
      </c>
      <c r="R24" s="2" t="str">
        <f>IF(F24&lt;&gt;"",VLOOKUP(F24,setup!$A$2:$B$6,2,FALSE),"")</f>
        <v/>
      </c>
    </row>
    <row r="25" spans="2:18" ht="15" thickBot="1">
      <c r="B25" s="8">
        <v>6</v>
      </c>
      <c r="C25" s="40"/>
      <c r="D25" s="41"/>
      <c r="E25" s="42"/>
      <c r="F25" s="42"/>
      <c r="G25" s="67"/>
      <c r="J25" s="2" t="b">
        <f t="shared" si="0"/>
        <v>0</v>
      </c>
      <c r="K25" s="2" t="b">
        <f t="shared" si="1"/>
        <v>0</v>
      </c>
      <c r="L25" s="2" t="b">
        <f t="shared" si="1"/>
        <v>0</v>
      </c>
      <c r="M25" s="2" t="b">
        <f t="shared" si="2"/>
        <v>0</v>
      </c>
      <c r="N25" s="2" t="b">
        <f t="array" ref="N25">IF(SUM(LEN(C25:G25))&gt;0,TRUE,FALSE)</f>
        <v>0</v>
      </c>
      <c r="O25" s="2" t="b">
        <v>0</v>
      </c>
      <c r="P25" s="2" t="b">
        <f t="shared" si="4"/>
        <v>0</v>
      </c>
      <c r="Q25" s="2" t="b">
        <f t="shared" si="3"/>
        <v>0</v>
      </c>
      <c r="R25" s="2" t="str">
        <f>IF(F25&lt;&gt;"",VLOOKUP(F25,setup!$A$2:$B$6,2,FALSE),"")</f>
        <v/>
      </c>
    </row>
    <row r="31" spans="2:18" ht="26">
      <c r="B31" s="17" t="s">
        <v>21</v>
      </c>
    </row>
    <row r="32" spans="2:18" ht="62.25" customHeight="1">
      <c r="B32" s="91" t="s">
        <v>22</v>
      </c>
      <c r="C32" s="91"/>
      <c r="D32" s="91"/>
      <c r="E32" s="91"/>
      <c r="F32" s="91"/>
      <c r="G32" s="91"/>
    </row>
    <row r="33" spans="2:2">
      <c r="B33" s="3"/>
    </row>
  </sheetData>
  <sheetProtection password="CCAC" sheet="1" objects="1" scenarios="1" formatCells="0" formatColumns="0" selectLockedCells="1"/>
  <mergeCells count="2">
    <mergeCell ref="B9:G9"/>
    <mergeCell ref="B32:G32"/>
  </mergeCells>
  <conditionalFormatting sqref="C20:D25">
    <cfRule type="cellIs" dxfId="51" priority="6" operator="equal">
      <formula>$P20=FALSE</formula>
    </cfRule>
  </conditionalFormatting>
  <conditionalFormatting sqref="G12">
    <cfRule type="cellIs" dxfId="50" priority="5" operator="equal">
      <formula>$N10=FALSE</formula>
    </cfRule>
  </conditionalFormatting>
  <conditionalFormatting sqref="G13">
    <cfRule type="cellIs" dxfId="49" priority="4" operator="equal">
      <formula>$N10=FALSE</formula>
    </cfRule>
  </conditionalFormatting>
  <conditionalFormatting sqref="C13">
    <cfRule type="cellIs" dxfId="48" priority="3" operator="equal">
      <formula>$N10=FALSE</formula>
    </cfRule>
  </conditionalFormatting>
  <conditionalFormatting sqref="E20:F25">
    <cfRule type="cellIs" dxfId="47" priority="2" operator="equal">
      <formula>$Q20=FALSE</formula>
    </cfRule>
  </conditionalFormatting>
  <conditionalFormatting sqref="G17">
    <cfRule type="cellIs" dxfId="46" priority="1" operator="equal">
      <formula>$N$14=FALSE</formula>
    </cfRule>
  </conditionalFormatting>
  <dataValidations count="4">
    <dataValidation type="list" allowBlank="1" showInputMessage="1" showErrorMessage="1" errorTitle="Pick from the list only" error="Please pick from the list only and try again." sqref="C14:C16">
      <formula1>"Yes"</formula1>
    </dataValidation>
    <dataValidation type="list" allowBlank="1" showInputMessage="1" showErrorMessage="1" errorTitle="Error detected" error="Please pick from the list only." sqref="E20:E25">
      <formula1>"&lt;1, 1,2,3,4,5,6,7,8,9,10,11,12,13,14,15,15+"</formula1>
    </dataValidation>
    <dataValidation type="list" allowBlank="1" showInputMessage="1" showErrorMessage="1" errorTitle="Error Detected" error="Please pick from the list only." sqref="F20:F25">
      <formula1>"Not Met, Almost Meets, Meets, Exceeds, Far Exceeds"</formula1>
    </dataValidation>
    <dataValidation type="whole" operator="greaterThanOrEqual" allowBlank="1" showInputMessage="1" showErrorMessage="1" errorTitle="Non numeric values detected" error="Please enter only positive integer only." sqref="D20:D25">
      <formula1>0</formula1>
    </dataValidation>
  </dataValidations>
  <printOptions horizontalCentered="1"/>
  <pageMargins left="0" right="0" top="0.74803149606299213" bottom="0.74803149606299213" header="0.31496062992125984" footer="0.31496062992125984"/>
  <pageSetup paperSize="5" scale="91" orientation="landscape" r:id="rId1"/>
  <headerFooter>
    <oddFooter>&amp;LPrinted Date: &amp;D&amp;CPage &amp;P of &amp;N&amp;RFileName: &amp;F</oddFooter>
  </headerFooter>
  <drawing r:id="rId2"/>
  <legacyDrawing r:id="rId3"/>
</worksheet>
</file>

<file path=xl/worksheets/sheet8.xml><?xml version="1.0" encoding="utf-8"?>
<worksheet xmlns="http://schemas.openxmlformats.org/spreadsheetml/2006/main" xmlns:r="http://schemas.openxmlformats.org/officeDocument/2006/relationships">
  <sheetPr codeName="Sheet6">
    <pageSetUpPr fitToPage="1"/>
  </sheetPr>
  <dimension ref="B2:S6"/>
  <sheetViews>
    <sheetView workbookViewId="0"/>
  </sheetViews>
  <sheetFormatPr defaultColWidth="9.1796875" defaultRowHeight="14.5"/>
  <cols>
    <col min="1" max="1" width="3.7265625" style="25" customWidth="1"/>
    <col min="2" max="2" width="27.26953125" style="25" customWidth="1"/>
    <col min="3" max="3" width="25.26953125" style="25" bestFit="1" customWidth="1"/>
    <col min="4" max="4" width="8.54296875" style="25" customWidth="1"/>
    <col min="5" max="5" width="23.26953125" style="25" customWidth="1"/>
    <col min="6" max="6" width="19.7265625" style="25" customWidth="1"/>
    <col min="7" max="7" width="26.1796875" style="25" customWidth="1"/>
    <col min="8" max="8" width="7.453125" style="25" bestFit="1" customWidth="1"/>
    <col min="9" max="14" width="5.7265625" style="25" bestFit="1" customWidth="1"/>
    <col min="15" max="15" width="8.26953125" style="25" bestFit="1" customWidth="1"/>
    <col min="16" max="16" width="8.7265625" style="25" bestFit="1" customWidth="1"/>
    <col min="17" max="17" width="9.54296875" style="25" bestFit="1" customWidth="1"/>
    <col min="18" max="18" width="5.81640625" style="25" bestFit="1" customWidth="1"/>
    <col min="19" max="19" width="11.1796875" style="25" bestFit="1" customWidth="1"/>
    <col min="20" max="16384" width="9.1796875" style="25"/>
  </cols>
  <sheetData>
    <row r="2" spans="2:19" ht="20" thickBot="1">
      <c r="B2" s="27" t="s">
        <v>155</v>
      </c>
    </row>
    <row r="3" spans="2:19" ht="15" thickTop="1">
      <c r="B3" s="28"/>
      <c r="C3" s="28"/>
      <c r="D3" s="28"/>
      <c r="E3" s="28"/>
      <c r="F3" s="28"/>
      <c r="G3" s="28"/>
      <c r="H3" s="28"/>
      <c r="I3" s="28"/>
      <c r="J3" s="28"/>
      <c r="K3" s="28"/>
      <c r="L3" s="28"/>
      <c r="M3" s="28"/>
      <c r="N3" s="28"/>
      <c r="O3" s="28"/>
      <c r="P3" s="28"/>
      <c r="Q3" s="28"/>
      <c r="R3" s="28"/>
      <c r="S3" s="28"/>
    </row>
    <row r="5" spans="2:19" ht="29">
      <c r="B5" s="29" t="s">
        <v>140</v>
      </c>
      <c r="C5" s="30" t="s">
        <v>39</v>
      </c>
      <c r="D5" s="30" t="s">
        <v>150</v>
      </c>
      <c r="E5" s="30" t="s">
        <v>151</v>
      </c>
      <c r="F5" s="30" t="s">
        <v>152</v>
      </c>
      <c r="G5" s="30" t="s">
        <v>153</v>
      </c>
      <c r="H5" s="32" t="s">
        <v>154</v>
      </c>
    </row>
    <row r="6" spans="2:19">
      <c r="B6" s="47"/>
      <c r="C6" s="48"/>
      <c r="D6" s="48"/>
      <c r="E6" s="48"/>
      <c r="F6" s="48"/>
      <c r="G6" s="49"/>
      <c r="H6" s="50"/>
    </row>
  </sheetData>
  <sheetProtection password="CCAC" sheet="1" objects="1" scenarios="1" formatCells="0" formatColumns="0" selectLockedCells="1"/>
  <printOptions horizontalCentered="1"/>
  <pageMargins left="0" right="0" top="0.74803149606299213" bottom="0.74803149606299213" header="0.31496062992125984" footer="0.31496062992125984"/>
  <pageSetup paperSize="5" scale="79" fitToHeight="0" orientation="landscape" r:id="rId1"/>
  <headerFooter>
    <oddFooter>&amp;LPrinted Date: &amp;D&amp;CPage &amp;P of &amp;N&amp;RFileName: &amp;F</oddFooter>
  </headerFooter>
  <tableParts count="1">
    <tablePart r:id="rId2"/>
  </tableParts>
</worksheet>
</file>

<file path=xl/worksheets/sheet9.xml><?xml version="1.0" encoding="utf-8"?>
<worksheet xmlns="http://schemas.openxmlformats.org/spreadsheetml/2006/main" xmlns:r="http://schemas.openxmlformats.org/officeDocument/2006/relationships">
  <sheetPr codeName="Sheet12"/>
  <dimension ref="A2:S19"/>
  <sheetViews>
    <sheetView workbookViewId="0"/>
  </sheetViews>
  <sheetFormatPr defaultColWidth="9.1796875" defaultRowHeight="14.5"/>
  <cols>
    <col min="1" max="1" width="3.7265625" style="25" customWidth="1"/>
    <col min="2" max="2" width="26" style="25" bestFit="1" customWidth="1"/>
    <col min="3" max="3" width="25.453125" style="25" customWidth="1"/>
    <col min="4" max="4" width="10.453125" style="25" bestFit="1" customWidth="1"/>
    <col min="5" max="5" width="22.81640625" style="25" customWidth="1"/>
    <col min="6" max="6" width="24.7265625" style="25" customWidth="1"/>
    <col min="7" max="7" width="23.81640625" style="25" customWidth="1"/>
    <col min="8" max="8" width="7.453125" style="25" bestFit="1" customWidth="1"/>
    <col min="9" max="14" width="5.7265625" style="25" bestFit="1" customWidth="1"/>
    <col min="15" max="15" width="8.26953125" style="25" bestFit="1" customWidth="1"/>
    <col min="16" max="16" width="8.7265625" style="25" bestFit="1" customWidth="1"/>
    <col min="17" max="17" width="9.54296875" style="25" bestFit="1" customWidth="1"/>
    <col min="18" max="18" width="5.81640625" style="25" bestFit="1" customWidth="1"/>
    <col min="19" max="19" width="11.54296875" style="25" bestFit="1" customWidth="1"/>
    <col min="20" max="16384" width="9.1796875" style="25"/>
  </cols>
  <sheetData>
    <row r="2" spans="1:19" ht="20" thickBot="1">
      <c r="B2" s="27" t="s">
        <v>172</v>
      </c>
    </row>
    <row r="3" spans="1:19" ht="15" thickTop="1">
      <c r="B3" s="28"/>
      <c r="C3" s="28"/>
      <c r="D3" s="28"/>
      <c r="E3" s="28"/>
      <c r="F3" s="28"/>
      <c r="G3" s="28"/>
      <c r="H3" s="28"/>
      <c r="I3" s="28"/>
      <c r="J3" s="28"/>
      <c r="K3" s="28"/>
      <c r="L3" s="28"/>
      <c r="M3" s="28"/>
      <c r="N3" s="28"/>
      <c r="O3" s="28"/>
      <c r="P3" s="28"/>
      <c r="Q3" s="28"/>
      <c r="R3" s="28"/>
      <c r="S3" s="28"/>
    </row>
    <row r="4" spans="1:19">
      <c r="B4" s="54" t="s">
        <v>162</v>
      </c>
      <c r="C4" s="69">
        <v>41557</v>
      </c>
      <c r="E4" s="54"/>
      <c r="F4" s="68" t="s">
        <v>173</v>
      </c>
      <c r="G4" s="70"/>
    </row>
    <row r="5" spans="1:19">
      <c r="B5" s="54" t="s">
        <v>163</v>
      </c>
      <c r="C5" s="69">
        <v>42287</v>
      </c>
    </row>
    <row r="8" spans="1:19" ht="20" thickBot="1">
      <c r="B8" s="27" t="s">
        <v>155</v>
      </c>
    </row>
    <row r="9" spans="1:19" ht="15" thickTop="1">
      <c r="B9" s="28"/>
      <c r="C9" s="28"/>
      <c r="D9" s="28"/>
      <c r="E9" s="28"/>
      <c r="F9" s="28"/>
      <c r="G9" s="28"/>
      <c r="H9" s="28"/>
      <c r="I9" s="28"/>
      <c r="J9" s="28"/>
      <c r="K9" s="28"/>
      <c r="L9" s="28"/>
      <c r="M9" s="28"/>
      <c r="N9" s="28"/>
      <c r="O9" s="28"/>
      <c r="P9" s="28"/>
      <c r="Q9" s="28"/>
      <c r="R9" s="28"/>
      <c r="S9" s="28"/>
    </row>
    <row r="11" spans="1:19">
      <c r="A11" s="55"/>
      <c r="B11" s="56" t="s">
        <v>140</v>
      </c>
      <c r="C11" s="57" t="s">
        <v>39</v>
      </c>
      <c r="D11" s="57" t="s">
        <v>150</v>
      </c>
      <c r="E11" s="57" t="s">
        <v>151</v>
      </c>
      <c r="F11" s="57" t="s">
        <v>152</v>
      </c>
      <c r="G11" s="57" t="s">
        <v>153</v>
      </c>
      <c r="H11" s="32" t="s">
        <v>154</v>
      </c>
    </row>
    <row r="12" spans="1:19">
      <c r="B12" s="47"/>
      <c r="C12" s="48"/>
      <c r="D12" s="48"/>
      <c r="E12" s="48"/>
      <c r="F12" s="48"/>
      <c r="G12" s="49"/>
      <c r="H12" s="50"/>
    </row>
    <row r="15" spans="1:19" ht="20" thickBot="1">
      <c r="B15" s="27" t="s">
        <v>138</v>
      </c>
    </row>
    <row r="16" spans="1:19" ht="15" thickTop="1">
      <c r="B16" s="28"/>
      <c r="C16" s="28"/>
      <c r="D16" s="28"/>
      <c r="E16" s="28"/>
      <c r="F16" s="28"/>
      <c r="G16" s="28"/>
      <c r="H16" s="28"/>
      <c r="I16" s="28"/>
      <c r="J16" s="28"/>
      <c r="K16" s="28"/>
      <c r="L16" s="28"/>
      <c r="M16" s="28"/>
      <c r="N16" s="28"/>
      <c r="O16" s="28"/>
      <c r="P16" s="28"/>
      <c r="Q16" s="28"/>
      <c r="R16" s="28"/>
      <c r="S16" s="28"/>
    </row>
    <row r="18" spans="1:19" ht="29">
      <c r="A18" s="55"/>
      <c r="B18" s="56" t="s">
        <v>139</v>
      </c>
      <c r="C18" s="57" t="s">
        <v>140</v>
      </c>
      <c r="D18" s="57" t="s">
        <v>164</v>
      </c>
      <c r="E18" s="31" t="s">
        <v>165</v>
      </c>
      <c r="F18" s="57" t="s">
        <v>166</v>
      </c>
      <c r="G18" s="57" t="s">
        <v>39</v>
      </c>
      <c r="H18" s="57" t="s">
        <v>167</v>
      </c>
      <c r="I18" s="57" t="s">
        <v>141</v>
      </c>
      <c r="J18" s="57" t="s">
        <v>142</v>
      </c>
      <c r="K18" s="57" t="s">
        <v>143</v>
      </c>
      <c r="L18" s="57" t="s">
        <v>144</v>
      </c>
      <c r="M18" s="57" t="s">
        <v>145</v>
      </c>
      <c r="N18" s="57" t="s">
        <v>146</v>
      </c>
      <c r="O18" s="57" t="s">
        <v>168</v>
      </c>
      <c r="P18" s="57" t="s">
        <v>169</v>
      </c>
      <c r="Q18" s="57" t="s">
        <v>147</v>
      </c>
      <c r="R18" s="57" t="s">
        <v>134</v>
      </c>
      <c r="S18" s="30" t="s">
        <v>170</v>
      </c>
    </row>
    <row r="19" spans="1:19">
      <c r="B19" s="58"/>
      <c r="C19" s="59"/>
      <c r="D19" s="60"/>
      <c r="E19" s="60"/>
      <c r="F19" s="60"/>
      <c r="G19" s="61"/>
      <c r="H19" s="60"/>
      <c r="I19" s="61"/>
      <c r="J19" s="61"/>
      <c r="K19" s="61"/>
      <c r="L19" s="61"/>
      <c r="M19" s="61"/>
      <c r="N19" s="61"/>
      <c r="O19" s="62"/>
      <c r="P19" s="59"/>
      <c r="Q19" s="59"/>
      <c r="R19" s="59"/>
      <c r="S19" s="63"/>
    </row>
  </sheetData>
  <sheetProtection password="CCAC" sheet="1" objects="1" scenarios="1" formatCells="0" formatColumns="0" selectLockedCells="1"/>
  <printOptions horizontalCentered="1"/>
  <pageMargins left="0" right="0" top="0.75" bottom="0.75" header="0.3" footer="0.3"/>
  <pageSetup paperSize="5" orientation="landscape" r:id="rId1"/>
  <headerFooter>
    <oddFooter>&amp;LPrinted Date: &amp;D&amp;CPage &amp;P of &amp;N&amp;RFileName: &amp;F</oddFooter>
  </headerFooter>
  <legacy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sheetPr codeName="Sheet8"/>
  <dimension ref="H2:I4"/>
  <sheetViews>
    <sheetView showGridLines="0" showRowColHeaders="0" zoomScaleNormal="100" workbookViewId="0">
      <selection activeCell="B48" sqref="B48"/>
    </sheetView>
  </sheetViews>
  <sheetFormatPr defaultRowHeight="14.5"/>
  <cols>
    <col min="9" max="9" width="11.7265625" bestFit="1" customWidth="1"/>
  </cols>
  <sheetData>
    <row r="2" spans="8:9">
      <c r="H2" s="1" t="s">
        <v>174</v>
      </c>
      <c r="I2">
        <v>2</v>
      </c>
    </row>
    <row r="3" spans="8:9">
      <c r="H3" s="1" t="s">
        <v>175</v>
      </c>
      <c r="I3" t="s">
        <v>177</v>
      </c>
    </row>
    <row r="4" spans="8:9">
      <c r="H4" s="1" t="s">
        <v>176</v>
      </c>
      <c r="I4" t="s">
        <v>178</v>
      </c>
    </row>
  </sheetData>
  <sheetProtection password="CCAC" sheet="1" objects="1" scenarios="1" formatCells="0" formatColumns="0" selectLockedCells="1"/>
  <printOptions horizontalCentered="1"/>
  <pageMargins left="0" right="0" top="0.74803149606299213" bottom="0.74803149606299213" header="0.31496062992125984" footer="0.31496062992125984"/>
  <pageSetup paperSize="256" orientation="portrait" r:id="rId1"/>
  <headerFooter>
    <oddFooter>&amp;LPrinted Date: &amp;D&amp;CPage &amp;P of &amp;N&amp;RFileName: &amp;F</oddFooter>
  </headerFooter>
  <drawing r:id="rId2"/>
</worksheet>
</file>

<file path=xl/worksheets/sheet11.xml><?xml version="1.0" encoding="utf-8"?>
<worksheet xmlns="http://schemas.openxmlformats.org/spreadsheetml/2006/main" xmlns:r="http://schemas.openxmlformats.org/officeDocument/2006/relationships">
  <sheetPr codeName="Sheet1"/>
  <dimension ref="A1:F86"/>
  <sheetViews>
    <sheetView workbookViewId="0"/>
  </sheetViews>
  <sheetFormatPr defaultColWidth="9.1796875" defaultRowHeight="14.5"/>
  <cols>
    <col min="1" max="1" width="18.453125" style="2" bestFit="1" customWidth="1"/>
    <col min="2" max="2" width="6.1796875" style="2" bestFit="1" customWidth="1"/>
    <col min="3" max="4" width="9.1796875" style="2"/>
    <col min="5" max="5" width="49" style="71" customWidth="1"/>
    <col min="6" max="6" width="28.1796875" style="71" bestFit="1" customWidth="1"/>
    <col min="7" max="16384" width="9.1796875" style="2"/>
  </cols>
  <sheetData>
    <row r="1" spans="1:6">
      <c r="A1" s="73" t="s">
        <v>33</v>
      </c>
      <c r="B1" s="73" t="s">
        <v>32</v>
      </c>
      <c r="E1" s="72" t="s">
        <v>38</v>
      </c>
      <c r="F1" s="72" t="s">
        <v>39</v>
      </c>
    </row>
    <row r="2" spans="1:6">
      <c r="A2" s="71" t="s">
        <v>26</v>
      </c>
      <c r="B2" s="71">
        <v>1</v>
      </c>
      <c r="E2" s="71" t="s">
        <v>78</v>
      </c>
      <c r="F2" s="71" t="s">
        <v>79</v>
      </c>
    </row>
    <row r="3" spans="1:6">
      <c r="A3" s="71" t="s">
        <v>29</v>
      </c>
      <c r="B3" s="71">
        <v>2</v>
      </c>
      <c r="E3" s="71" t="s">
        <v>181</v>
      </c>
      <c r="F3" s="71" t="s">
        <v>79</v>
      </c>
    </row>
    <row r="4" spans="1:6">
      <c r="A4" s="71" t="s">
        <v>28</v>
      </c>
      <c r="B4" s="71">
        <v>3</v>
      </c>
      <c r="E4" s="71" t="s">
        <v>111</v>
      </c>
      <c r="F4" s="71" t="s">
        <v>79</v>
      </c>
    </row>
    <row r="5" spans="1:6">
      <c r="A5" s="71" t="s">
        <v>27</v>
      </c>
      <c r="B5" s="71">
        <v>4</v>
      </c>
      <c r="E5" s="71" t="s">
        <v>112</v>
      </c>
      <c r="F5" s="71" t="s">
        <v>79</v>
      </c>
    </row>
    <row r="6" spans="1:6">
      <c r="A6" s="71" t="s">
        <v>30</v>
      </c>
      <c r="B6" s="71">
        <v>5</v>
      </c>
      <c r="E6" s="71" t="s">
        <v>113</v>
      </c>
      <c r="F6" s="71" t="s">
        <v>79</v>
      </c>
    </row>
    <row r="7" spans="1:6">
      <c r="E7" s="71" t="s">
        <v>44</v>
      </c>
      <c r="F7" s="71" t="s">
        <v>45</v>
      </c>
    </row>
    <row r="8" spans="1:6">
      <c r="E8" s="71" t="s">
        <v>49</v>
      </c>
      <c r="F8" s="71" t="s">
        <v>45</v>
      </c>
    </row>
    <row r="9" spans="1:6">
      <c r="E9" s="71" t="s">
        <v>61</v>
      </c>
      <c r="F9" s="71" t="s">
        <v>45</v>
      </c>
    </row>
    <row r="10" spans="1:6">
      <c r="E10" s="71" t="s">
        <v>116</v>
      </c>
      <c r="F10" s="71" t="s">
        <v>45</v>
      </c>
    </row>
    <row r="11" spans="1:6">
      <c r="E11" s="71" t="s">
        <v>46</v>
      </c>
      <c r="F11" s="71" t="s">
        <v>47</v>
      </c>
    </row>
    <row r="12" spans="1:6">
      <c r="E12" s="71" t="s">
        <v>48</v>
      </c>
      <c r="F12" s="71" t="s">
        <v>47</v>
      </c>
    </row>
    <row r="13" spans="1:6">
      <c r="E13" s="71" t="s">
        <v>50</v>
      </c>
      <c r="F13" s="71" t="s">
        <v>47</v>
      </c>
    </row>
    <row r="14" spans="1:6">
      <c r="E14" s="71" t="s">
        <v>51</v>
      </c>
      <c r="F14" s="71" t="s">
        <v>47</v>
      </c>
    </row>
    <row r="15" spans="1:6">
      <c r="E15" s="71" t="s">
        <v>52</v>
      </c>
      <c r="F15" s="71" t="s">
        <v>47</v>
      </c>
    </row>
    <row r="16" spans="1:6">
      <c r="E16" s="71" t="s">
        <v>53</v>
      </c>
      <c r="F16" s="71" t="s">
        <v>47</v>
      </c>
    </row>
    <row r="17" spans="5:6">
      <c r="E17" s="71" t="s">
        <v>64</v>
      </c>
      <c r="F17" s="71" t="s">
        <v>47</v>
      </c>
    </row>
    <row r="18" spans="5:6">
      <c r="E18" s="71" t="s">
        <v>65</v>
      </c>
      <c r="F18" s="71" t="s">
        <v>47</v>
      </c>
    </row>
    <row r="19" spans="5:6">
      <c r="E19" s="71" t="s">
        <v>71</v>
      </c>
      <c r="F19" s="71" t="s">
        <v>47</v>
      </c>
    </row>
    <row r="20" spans="5:6">
      <c r="E20" s="71" t="s">
        <v>72</v>
      </c>
      <c r="F20" s="71" t="s">
        <v>47</v>
      </c>
    </row>
    <row r="21" spans="5:6">
      <c r="E21" s="71" t="s">
        <v>74</v>
      </c>
      <c r="F21" s="71" t="s">
        <v>47</v>
      </c>
    </row>
    <row r="22" spans="5:6">
      <c r="E22" s="71" t="s">
        <v>80</v>
      </c>
      <c r="F22" s="71" t="s">
        <v>47</v>
      </c>
    </row>
    <row r="23" spans="5:6">
      <c r="E23" s="71" t="s">
        <v>86</v>
      </c>
      <c r="F23" s="71" t="s">
        <v>47</v>
      </c>
    </row>
    <row r="24" spans="5:6">
      <c r="E24" s="71" t="s">
        <v>92</v>
      </c>
      <c r="F24" s="71" t="s">
        <v>47</v>
      </c>
    </row>
    <row r="25" spans="5:6">
      <c r="E25" s="71" t="s">
        <v>97</v>
      </c>
      <c r="F25" s="71" t="s">
        <v>47</v>
      </c>
    </row>
    <row r="26" spans="5:6">
      <c r="E26" s="71" t="s">
        <v>98</v>
      </c>
      <c r="F26" s="71" t="s">
        <v>47</v>
      </c>
    </row>
    <row r="27" spans="5:6">
      <c r="E27" s="71" t="s">
        <v>106</v>
      </c>
      <c r="F27" s="71" t="s">
        <v>47</v>
      </c>
    </row>
    <row r="28" spans="5:6">
      <c r="E28" s="71" t="s">
        <v>107</v>
      </c>
      <c r="F28" s="71" t="s">
        <v>47</v>
      </c>
    </row>
    <row r="29" spans="5:6">
      <c r="E29" s="71" t="s">
        <v>115</v>
      </c>
      <c r="F29" s="71" t="s">
        <v>47</v>
      </c>
    </row>
    <row r="30" spans="5:6">
      <c r="E30" s="71" t="s">
        <v>120</v>
      </c>
      <c r="F30" s="71" t="s">
        <v>47</v>
      </c>
    </row>
    <row r="31" spans="5:6">
      <c r="E31" s="71" t="s">
        <v>197</v>
      </c>
      <c r="F31" s="71" t="s">
        <v>47</v>
      </c>
    </row>
    <row r="32" spans="5:6">
      <c r="E32" s="71" t="s">
        <v>56</v>
      </c>
      <c r="F32" s="71" t="s">
        <v>57</v>
      </c>
    </row>
    <row r="33" spans="5:6">
      <c r="E33" s="71" t="s">
        <v>58</v>
      </c>
      <c r="F33" s="71" t="s">
        <v>57</v>
      </c>
    </row>
    <row r="34" spans="5:6">
      <c r="E34" s="71" t="s">
        <v>60</v>
      </c>
      <c r="F34" s="71" t="s">
        <v>57</v>
      </c>
    </row>
    <row r="35" spans="5:6">
      <c r="E35" s="71" t="s">
        <v>62</v>
      </c>
      <c r="F35" s="71" t="s">
        <v>57</v>
      </c>
    </row>
    <row r="36" spans="5:6">
      <c r="E36" s="71" t="s">
        <v>63</v>
      </c>
      <c r="F36" s="71" t="s">
        <v>57</v>
      </c>
    </row>
    <row r="37" spans="5:6">
      <c r="E37" s="71" t="s">
        <v>101</v>
      </c>
      <c r="F37" s="71" t="s">
        <v>57</v>
      </c>
    </row>
    <row r="38" spans="5:6">
      <c r="E38" s="71" t="s">
        <v>40</v>
      </c>
      <c r="F38" s="71" t="s">
        <v>41</v>
      </c>
    </row>
    <row r="39" spans="5:6">
      <c r="E39" s="71" t="s">
        <v>59</v>
      </c>
      <c r="F39" s="71" t="s">
        <v>41</v>
      </c>
    </row>
    <row r="40" spans="5:6">
      <c r="E40" s="71" t="s">
        <v>66</v>
      </c>
      <c r="F40" s="71" t="s">
        <v>41</v>
      </c>
    </row>
    <row r="41" spans="5:6">
      <c r="E41" s="71" t="s">
        <v>73</v>
      </c>
      <c r="F41" s="71" t="s">
        <v>41</v>
      </c>
    </row>
    <row r="42" spans="5:6">
      <c r="E42" s="71" t="s">
        <v>77</v>
      </c>
      <c r="F42" s="71" t="s">
        <v>41</v>
      </c>
    </row>
    <row r="43" spans="5:6">
      <c r="E43" s="71" t="s">
        <v>83</v>
      </c>
      <c r="F43" s="71" t="s">
        <v>41</v>
      </c>
    </row>
    <row r="44" spans="5:6">
      <c r="E44" s="71" t="s">
        <v>84</v>
      </c>
      <c r="F44" s="71" t="s">
        <v>41</v>
      </c>
    </row>
    <row r="45" spans="5:6">
      <c r="E45" s="71" t="s">
        <v>108</v>
      </c>
      <c r="F45" s="71" t="s">
        <v>41</v>
      </c>
    </row>
    <row r="46" spans="5:6">
      <c r="E46" s="71" t="s">
        <v>109</v>
      </c>
      <c r="F46" s="71" t="s">
        <v>41</v>
      </c>
    </row>
    <row r="47" spans="5:6">
      <c r="E47" s="71" t="s">
        <v>121</v>
      </c>
      <c r="F47" s="71" t="s">
        <v>41</v>
      </c>
    </row>
    <row r="48" spans="5:6">
      <c r="E48" s="71" t="s">
        <v>193</v>
      </c>
      <c r="F48" s="71" t="s">
        <v>41</v>
      </c>
    </row>
    <row r="49" spans="5:6">
      <c r="E49" s="71" t="s">
        <v>122</v>
      </c>
      <c r="F49" s="71" t="s">
        <v>41</v>
      </c>
    </row>
    <row r="50" spans="5:6">
      <c r="E50" s="71" t="s">
        <v>75</v>
      </c>
      <c r="F50" s="71" t="s">
        <v>76</v>
      </c>
    </row>
    <row r="51" spans="5:6">
      <c r="E51" s="71" t="s">
        <v>99</v>
      </c>
      <c r="F51" s="71" t="s">
        <v>76</v>
      </c>
    </row>
    <row r="52" spans="5:6">
      <c r="E52" s="71" t="s">
        <v>100</v>
      </c>
      <c r="F52" s="71" t="s">
        <v>76</v>
      </c>
    </row>
    <row r="53" spans="5:6">
      <c r="E53" s="71" t="s">
        <v>103</v>
      </c>
      <c r="F53" s="71" t="s">
        <v>76</v>
      </c>
    </row>
    <row r="54" spans="5:6">
      <c r="E54" s="71" t="s">
        <v>104</v>
      </c>
      <c r="F54" s="71" t="s">
        <v>76</v>
      </c>
    </row>
    <row r="55" spans="5:6">
      <c r="E55" s="71" t="s">
        <v>105</v>
      </c>
      <c r="F55" s="71" t="s">
        <v>76</v>
      </c>
    </row>
    <row r="56" spans="5:6">
      <c r="E56" s="71" t="s">
        <v>117</v>
      </c>
      <c r="F56" s="71" t="s">
        <v>76</v>
      </c>
    </row>
    <row r="57" spans="5:6">
      <c r="E57" s="71" t="s">
        <v>69</v>
      </c>
      <c r="F57" s="71" t="s">
        <v>70</v>
      </c>
    </row>
    <row r="58" spans="5:6">
      <c r="E58" s="71" t="s">
        <v>82</v>
      </c>
      <c r="F58" s="71" t="s">
        <v>70</v>
      </c>
    </row>
    <row r="59" spans="5:6">
      <c r="E59" s="71" t="s">
        <v>85</v>
      </c>
      <c r="F59" s="71" t="s">
        <v>70</v>
      </c>
    </row>
    <row r="60" spans="5:6">
      <c r="E60" s="71" t="s">
        <v>87</v>
      </c>
      <c r="F60" s="71" t="s">
        <v>70</v>
      </c>
    </row>
    <row r="61" spans="5:6">
      <c r="E61" s="71" t="s">
        <v>88</v>
      </c>
      <c r="F61" s="71" t="s">
        <v>70</v>
      </c>
    </row>
    <row r="62" spans="5:6">
      <c r="E62" s="71" t="s">
        <v>89</v>
      </c>
      <c r="F62" s="71" t="s">
        <v>70</v>
      </c>
    </row>
    <row r="63" spans="5:6">
      <c r="E63" s="71" t="s">
        <v>96</v>
      </c>
      <c r="F63" s="71" t="s">
        <v>70</v>
      </c>
    </row>
    <row r="64" spans="5:6">
      <c r="E64" s="71" t="s">
        <v>110</v>
      </c>
      <c r="F64" s="71" t="s">
        <v>70</v>
      </c>
    </row>
    <row r="65" spans="5:6">
      <c r="E65" s="71" t="s">
        <v>54</v>
      </c>
      <c r="F65" s="71" t="s">
        <v>55</v>
      </c>
    </row>
    <row r="66" spans="5:6">
      <c r="E66" s="71" t="s">
        <v>91</v>
      </c>
      <c r="F66" s="71" t="s">
        <v>55</v>
      </c>
    </row>
    <row r="67" spans="5:6">
      <c r="E67" s="71" t="s">
        <v>67</v>
      </c>
      <c r="F67" s="71" t="s">
        <v>68</v>
      </c>
    </row>
    <row r="68" spans="5:6">
      <c r="E68" s="71" t="s">
        <v>81</v>
      </c>
      <c r="F68" s="71" t="s">
        <v>68</v>
      </c>
    </row>
    <row r="69" spans="5:6">
      <c r="E69" s="71" t="s">
        <v>90</v>
      </c>
      <c r="F69" s="71" t="s">
        <v>68</v>
      </c>
    </row>
    <row r="70" spans="5:6">
      <c r="E70" s="71" t="s">
        <v>93</v>
      </c>
      <c r="F70" s="71" t="s">
        <v>68</v>
      </c>
    </row>
    <row r="71" spans="5:6">
      <c r="E71" s="71" t="s">
        <v>94</v>
      </c>
      <c r="F71" s="71" t="s">
        <v>68</v>
      </c>
    </row>
    <row r="72" spans="5:6">
      <c r="E72" s="71" t="s">
        <v>95</v>
      </c>
      <c r="F72" s="71" t="s">
        <v>68</v>
      </c>
    </row>
    <row r="73" spans="5:6">
      <c r="E73" s="71" t="s">
        <v>38</v>
      </c>
      <c r="F73" s="71" t="s">
        <v>39</v>
      </c>
    </row>
    <row r="74" spans="5:6">
      <c r="E74" s="71" t="s">
        <v>42</v>
      </c>
      <c r="F74" s="71" t="s">
        <v>43</v>
      </c>
    </row>
    <row r="75" spans="5:6">
      <c r="E75" s="71" t="s">
        <v>102</v>
      </c>
      <c r="F75" s="71" t="s">
        <v>43</v>
      </c>
    </row>
    <row r="76" spans="5:6">
      <c r="E76" s="71" t="s">
        <v>114</v>
      </c>
      <c r="F76" s="71" t="s">
        <v>43</v>
      </c>
    </row>
    <row r="77" spans="5:6">
      <c r="E77" s="71" t="s">
        <v>118</v>
      </c>
      <c r="F77" s="71" t="s">
        <v>43</v>
      </c>
    </row>
    <row r="78" spans="5:6">
      <c r="E78" s="71" t="s">
        <v>119</v>
      </c>
      <c r="F78" s="71" t="s">
        <v>43</v>
      </c>
    </row>
    <row r="79" spans="5:6">
      <c r="E79" s="71" t="s">
        <v>179</v>
      </c>
      <c r="F79" s="71" t="s">
        <v>43</v>
      </c>
    </row>
    <row r="80" spans="5:6">
      <c r="E80" s="71" t="s">
        <v>180</v>
      </c>
      <c r="F80" s="71" t="s">
        <v>76</v>
      </c>
    </row>
    <row r="81" spans="5:6">
      <c r="E81" s="71" t="s">
        <v>189</v>
      </c>
      <c r="F81" s="71" t="s">
        <v>41</v>
      </c>
    </row>
    <row r="82" spans="5:6">
      <c r="E82" s="71" t="s">
        <v>190</v>
      </c>
      <c r="F82" s="71" t="s">
        <v>41</v>
      </c>
    </row>
    <row r="83" spans="5:6">
      <c r="E83" s="71" t="s">
        <v>191</v>
      </c>
      <c r="F83" s="71" t="s">
        <v>47</v>
      </c>
    </row>
    <row r="84" spans="5:6">
      <c r="E84" s="71" t="s">
        <v>192</v>
      </c>
      <c r="F84" s="71" t="s">
        <v>47</v>
      </c>
    </row>
    <row r="85" spans="5:6">
      <c r="E85" s="71" t="s">
        <v>194</v>
      </c>
      <c r="F85" s="71" t="s">
        <v>47</v>
      </c>
    </row>
    <row r="86" spans="5:6">
      <c r="E86" s="71" t="s">
        <v>196</v>
      </c>
      <c r="F86" s="71" t="s">
        <v>70</v>
      </c>
    </row>
  </sheetData>
  <sheetProtection password="CCAC" sheet="1" objects="1" scenarios="1" formatCells="0" formatColumns="0"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
  <sheetViews>
    <sheetView workbookViewId="0"/>
  </sheetViews>
  <sheetFormatPr defaultRowHeight="1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Candidate1</vt:lpstr>
      <vt:lpstr>MacrosRequired</vt:lpstr>
      <vt:lpstr>Can_BackUp!Print_Area</vt:lpstr>
      <vt:lpstr>Candidate1!Print_Area</vt:lpstr>
      <vt:lpstr>FlowChart!Print_Area</vt:lpstr>
      <vt:lpstr>setup!Print_Area</vt:lpstr>
      <vt:lpstr>Summary!Print_Area</vt:lpstr>
      <vt:lpstr>Summary_BackUp!Print_Area</vt:lpstr>
    </vt:vector>
  </TitlesOfParts>
  <Company>WSIB</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Wong</dc:creator>
  <cp:lastModifiedBy>thara savio</cp:lastModifiedBy>
  <cp:lastPrinted>2016-03-11T16:28:12Z</cp:lastPrinted>
  <dcterms:created xsi:type="dcterms:W3CDTF">2014-09-10T13:04:21Z</dcterms:created>
  <dcterms:modified xsi:type="dcterms:W3CDTF">2017-08-17T02:51:35Z</dcterms:modified>
</cp:coreProperties>
</file>